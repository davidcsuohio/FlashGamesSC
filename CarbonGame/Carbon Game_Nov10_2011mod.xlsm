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0" yWindow="75" windowWidth="11355" windowHeight="487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H29" i="1" l="1"/>
  <c r="H22" i="1"/>
  <c r="H11" i="1"/>
  <c r="F32" i="1" s="1"/>
  <c r="I3" i="1" l="1"/>
  <c r="I4" i="1"/>
  <c r="I5" i="1"/>
  <c r="I6" i="1"/>
  <c r="I7" i="1"/>
  <c r="I8" i="1"/>
  <c r="I9" i="1"/>
  <c r="I10" i="1"/>
  <c r="I13" i="1"/>
  <c r="I14" i="1"/>
  <c r="I15" i="1"/>
  <c r="I16" i="1"/>
  <c r="I17" i="1"/>
  <c r="I18" i="1"/>
  <c r="I19" i="1"/>
  <c r="I20" i="1"/>
  <c r="I21" i="1"/>
  <c r="I24" i="1"/>
  <c r="I25" i="1"/>
  <c r="I26" i="1"/>
  <c r="I27" i="1"/>
  <c r="I28" i="1"/>
  <c r="F33" i="1" l="1"/>
</calcChain>
</file>

<file path=xl/sharedStrings.xml><?xml version="1.0" encoding="utf-8"?>
<sst xmlns="http://schemas.openxmlformats.org/spreadsheetml/2006/main" count="40" uniqueCount="40">
  <si>
    <t>Action</t>
  </si>
  <si>
    <t>Limit</t>
  </si>
  <si>
    <t>Build geothermal heating and cooling systems for buildings</t>
  </si>
  <si>
    <t>Improve insulation in buildings</t>
  </si>
  <si>
    <t>Increase gas mileage of cars</t>
  </si>
  <si>
    <t>Increase gas mileage of trucks</t>
  </si>
  <si>
    <t>Install high-tech windows that filter sunlight</t>
  </si>
  <si>
    <t>Take the train instead of driving or flying</t>
  </si>
  <si>
    <t>Turn off computers and TVs to prevent vampire load</t>
  </si>
  <si>
    <t>Use CFL lightbulbs</t>
  </si>
  <si>
    <t>Capture CO2 emissions from coal fired power plants and store them in the Earth</t>
  </si>
  <si>
    <t>Drive cars on hydrogen produced at wind farms</t>
  </si>
  <si>
    <t>Grow biofuels to replace gasoline in cars and trucks</t>
  </si>
  <si>
    <t>Mix in wood in coal fired power plants</t>
  </si>
  <si>
    <t>Place solar panels on rooftops</t>
  </si>
  <si>
    <t>Replace coal-fired power plants with natural gas power plants</t>
  </si>
  <si>
    <t>Replace coal-fired power plants with nuclear power plants</t>
  </si>
  <si>
    <t>Replace coal-fired power plants with solar energy power plants</t>
  </si>
  <si>
    <t>Replace coal-fired power plants with wind farms</t>
  </si>
  <si>
    <t>Farmers adopt conservation tillage</t>
  </si>
  <si>
    <t>Plant trees on mediocre farmland</t>
  </si>
  <si>
    <t>Reduce the number of cattle raised</t>
  </si>
  <si>
    <t>Restore wetlands on farmland</t>
  </si>
  <si>
    <t>Replace cement with other building materials</t>
  </si>
  <si>
    <t>Number</t>
  </si>
  <si>
    <t>Cost Each</t>
  </si>
  <si>
    <t>Row Total</t>
  </si>
  <si>
    <t>Atmosphere (10)</t>
  </si>
  <si>
    <t>Biomass, Soil (2)</t>
  </si>
  <si>
    <t>Oceans (3)</t>
  </si>
  <si>
    <t>Fossil Fuels (1)</t>
  </si>
  <si>
    <t>Energy efficiency</t>
  </si>
  <si>
    <t>Energy production</t>
  </si>
  <si>
    <t>Total energy efficiency (limit = 50)</t>
  </si>
  <si>
    <t>Land management</t>
  </si>
  <si>
    <t>Total land management (limit = 25)</t>
  </si>
  <si>
    <t>Total spent:</t>
  </si>
  <si>
    <t>Total score:</t>
  </si>
  <si>
    <t>billion dollars (your budget is 100 billion dollars)</t>
  </si>
  <si>
    <t>Total energy production (limit = 75)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</si>
</sst>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5FACA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Font="1"/>
    <xf numFmtId="0" fontId="0" fillId="0" borderId="1" xfId="0" applyFont="1" applyFill="1" applyBorder="1" applyAlignment="1">
      <alignment vertical="top" wrapText="1"/>
    </xf>
    <xf numFmtId="0" fontId="1" fillId="2" borderId="2" xfId="0" applyFont="1" applyFill="1" applyBorder="1" applyAlignment="1">
      <alignment horizontal="center" vertical="top" wrapText="1"/>
    </xf>
    <xf numFmtId="0" fontId="1" fillId="2" borderId="2" xfId="0" applyFont="1" applyFill="1" applyBorder="1" applyAlignment="1">
      <alignment vertical="top" wrapText="1"/>
    </xf>
    <xf numFmtId="0" fontId="0" fillId="2" borderId="2" xfId="0" applyFont="1" applyFill="1" applyBorder="1" applyAlignment="1">
      <alignment vertical="top" wrapText="1"/>
    </xf>
    <xf numFmtId="0" fontId="0" fillId="2" borderId="2" xfId="0" applyFont="1" applyFill="1" applyBorder="1" applyAlignment="1">
      <alignment horizontal="center" vertical="top" wrapText="1"/>
    </xf>
    <xf numFmtId="0" fontId="1" fillId="0" borderId="0" xfId="0" applyFont="1"/>
    <xf numFmtId="0" fontId="1" fillId="0" borderId="0" xfId="0" applyFont="1" applyAlignment="1">
      <alignment horizontal="right"/>
    </xf>
    <xf numFmtId="0" fontId="1" fillId="3" borderId="2" xfId="0" applyFont="1" applyFill="1" applyBorder="1" applyAlignment="1">
      <alignment horizontal="left" vertical="top" wrapText="1"/>
    </xf>
    <xf numFmtId="0" fontId="1" fillId="3" borderId="2" xfId="0" applyFont="1" applyFill="1" applyBorder="1" applyAlignment="1">
      <alignment vertical="top" wrapText="1"/>
    </xf>
    <xf numFmtId="0" fontId="1" fillId="3" borderId="2" xfId="0" applyFont="1" applyFill="1" applyBorder="1" applyAlignment="1">
      <alignment horizontal="center" vertical="top" wrapText="1"/>
    </xf>
    <xf numFmtId="0" fontId="0" fillId="3" borderId="2" xfId="0" applyFont="1" applyFill="1" applyBorder="1" applyAlignment="1">
      <alignment horizontal="center" vertical="top" wrapText="1"/>
    </xf>
    <xf numFmtId="0" fontId="1" fillId="4" borderId="2" xfId="0" applyFont="1" applyFill="1" applyBorder="1" applyAlignment="1">
      <alignment vertical="top" wrapText="1"/>
    </xf>
    <xf numFmtId="0" fontId="1" fillId="0" borderId="2" xfId="0" applyFont="1" applyFill="1" applyBorder="1" applyAlignment="1">
      <alignment horizontal="center" vertical="top" wrapText="1"/>
    </xf>
    <xf numFmtId="0" fontId="0" fillId="3" borderId="2" xfId="0" applyFont="1" applyFill="1" applyBorder="1" applyAlignment="1">
      <alignment horizontal="right" vertical="top" wrapText="1"/>
    </xf>
    <xf numFmtId="0" fontId="0" fillId="3" borderId="2" xfId="0" applyFont="1" applyFill="1" applyBorder="1"/>
    <xf numFmtId="0" fontId="0" fillId="0" borderId="2" xfId="0" applyFont="1" applyFill="1" applyBorder="1" applyAlignment="1">
      <alignment horizontal="center" vertical="top" wrapText="1"/>
    </xf>
    <xf numFmtId="0" fontId="0" fillId="0" borderId="2" xfId="0" applyFont="1" applyBorder="1" applyAlignment="1">
      <alignment horizontal="center"/>
    </xf>
    <xf numFmtId="0" fontId="0" fillId="4" borderId="2" xfId="0" applyFont="1" applyFill="1" applyBorder="1" applyAlignment="1">
      <alignment horizontal="center" vertical="top" wrapText="1"/>
    </xf>
    <xf numFmtId="0" fontId="1" fillId="4" borderId="2" xfId="0" applyFont="1" applyFill="1" applyBorder="1" applyAlignment="1">
      <alignment horizontal="center" vertical="top" wrapText="1"/>
    </xf>
    <xf numFmtId="0" fontId="0" fillId="4" borderId="2" xfId="0" applyFont="1" applyFill="1" applyBorder="1"/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5FACA"/>
      <color rgb="FFECF595"/>
      <color rgb="FFD0E41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3"/>
  <sheetViews>
    <sheetView tabSelected="1" zoomScale="75" zoomScaleNormal="75" workbookViewId="0">
      <selection activeCell="C4" sqref="C4"/>
    </sheetView>
  </sheetViews>
  <sheetFormatPr defaultRowHeight="15" x14ac:dyDescent="0.25"/>
  <cols>
    <col min="1" max="1" width="54.85546875" customWidth="1"/>
    <col min="2" max="2" width="10.85546875" customWidth="1"/>
    <col min="3" max="3" width="7.7109375" customWidth="1"/>
    <col min="4" max="4" width="16.28515625" customWidth="1"/>
    <col min="5" max="5" width="15.42578125" customWidth="1"/>
    <col min="6" max="6" width="10.85546875" customWidth="1"/>
    <col min="7" max="7" width="15" customWidth="1"/>
    <col min="8" max="9" width="12.42578125" customWidth="1"/>
    <col min="11" max="11" width="15" customWidth="1"/>
  </cols>
  <sheetData>
    <row r="1" spans="1:9" ht="17.25" customHeight="1" x14ac:dyDescent="0.3">
      <c r="A1" s="3" t="s">
        <v>0</v>
      </c>
      <c r="B1" s="4" t="s">
        <v>25</v>
      </c>
      <c r="C1" s="4" t="s">
        <v>1</v>
      </c>
      <c r="D1" s="3" t="s">
        <v>27</v>
      </c>
      <c r="E1" s="3" t="s">
        <v>28</v>
      </c>
      <c r="F1" s="3" t="s">
        <v>29</v>
      </c>
      <c r="G1" s="3" t="s">
        <v>30</v>
      </c>
      <c r="H1" s="14" t="s">
        <v>24</v>
      </c>
      <c r="I1" s="14" t="s">
        <v>26</v>
      </c>
    </row>
    <row r="2" spans="1:9" ht="14.45" x14ac:dyDescent="0.3">
      <c r="A2" s="9" t="s">
        <v>31</v>
      </c>
      <c r="B2" s="10"/>
      <c r="C2" s="10"/>
      <c r="D2" s="11"/>
      <c r="E2" s="11"/>
      <c r="F2" s="11"/>
      <c r="G2" s="11"/>
      <c r="H2" s="11"/>
      <c r="I2" s="11"/>
    </row>
    <row r="3" spans="1:9" ht="18" customHeight="1" x14ac:dyDescent="0.3">
      <c r="A3" s="5" t="s">
        <v>2</v>
      </c>
      <c r="B3" s="6">
        <v>1</v>
      </c>
      <c r="C3" s="6">
        <v>4</v>
      </c>
      <c r="D3" s="6">
        <v>-6</v>
      </c>
      <c r="E3" s="6">
        <v>0</v>
      </c>
      <c r="F3" s="6">
        <v>-3</v>
      </c>
      <c r="G3" s="6">
        <v>5</v>
      </c>
      <c r="H3" s="17">
        <v>1</v>
      </c>
      <c r="I3" s="18">
        <f>H3*(-10*D3 + 2*E3 + -3*F3 + G3)</f>
        <v>74</v>
      </c>
    </row>
    <row r="4" spans="1:9" ht="17.25" customHeight="1" x14ac:dyDescent="0.25">
      <c r="A4" s="5" t="s">
        <v>3</v>
      </c>
      <c r="B4" s="6">
        <v>1</v>
      </c>
      <c r="C4" s="6">
        <v>15</v>
      </c>
      <c r="D4" s="6">
        <v>-20</v>
      </c>
      <c r="E4" s="6">
        <v>0</v>
      </c>
      <c r="F4" s="6">
        <v>-10</v>
      </c>
      <c r="G4" s="6">
        <v>10</v>
      </c>
      <c r="H4" s="17">
        <v>1</v>
      </c>
      <c r="I4" s="18">
        <f>H4*(-10*D4 + 2*E4 + -3*F4 + G4)</f>
        <v>240</v>
      </c>
    </row>
    <row r="5" spans="1:9" ht="18" customHeight="1" x14ac:dyDescent="0.3">
      <c r="A5" s="5" t="s">
        <v>4</v>
      </c>
      <c r="B5" s="6">
        <v>1</v>
      </c>
      <c r="C5" s="6">
        <v>12</v>
      </c>
      <c r="D5" s="6">
        <v>-10</v>
      </c>
      <c r="E5" s="6">
        <v>0</v>
      </c>
      <c r="F5" s="6">
        <v>-5</v>
      </c>
      <c r="G5" s="6">
        <v>10</v>
      </c>
      <c r="H5" s="17">
        <v>1</v>
      </c>
      <c r="I5" s="18">
        <f t="shared" ref="I5:I28" si="0">H5*(-10*D5 + 2*E5 + -3*F5 + G5)</f>
        <v>125</v>
      </c>
    </row>
    <row r="6" spans="1:9" ht="15.75" customHeight="1" x14ac:dyDescent="0.3">
      <c r="A6" s="5" t="s">
        <v>5</v>
      </c>
      <c r="B6" s="6">
        <v>1</v>
      </c>
      <c r="C6" s="6">
        <v>10</v>
      </c>
      <c r="D6" s="6">
        <v>-7</v>
      </c>
      <c r="E6" s="6">
        <v>0</v>
      </c>
      <c r="F6" s="6">
        <v>-4</v>
      </c>
      <c r="G6" s="6">
        <v>10</v>
      </c>
      <c r="H6" s="17">
        <v>1</v>
      </c>
      <c r="I6" s="18">
        <f t="shared" si="0"/>
        <v>92</v>
      </c>
    </row>
    <row r="7" spans="1:9" ht="15.75" customHeight="1" x14ac:dyDescent="0.3">
      <c r="A7" s="5" t="s">
        <v>6</v>
      </c>
      <c r="B7" s="6">
        <v>1</v>
      </c>
      <c r="C7" s="6">
        <v>5</v>
      </c>
      <c r="D7" s="6">
        <v>-6</v>
      </c>
      <c r="E7" s="6">
        <v>0</v>
      </c>
      <c r="F7" s="6">
        <v>-3</v>
      </c>
      <c r="G7" s="6">
        <v>3</v>
      </c>
      <c r="H7" s="17">
        <v>1</v>
      </c>
      <c r="I7" s="18">
        <f t="shared" si="0"/>
        <v>72</v>
      </c>
    </row>
    <row r="8" spans="1:9" ht="15.75" customHeight="1" x14ac:dyDescent="0.3">
      <c r="A8" s="5" t="s">
        <v>7</v>
      </c>
      <c r="B8" s="6">
        <v>1</v>
      </c>
      <c r="C8" s="6">
        <v>4</v>
      </c>
      <c r="D8" s="6">
        <v>-12</v>
      </c>
      <c r="E8" s="6">
        <v>0</v>
      </c>
      <c r="F8" s="6">
        <v>-6</v>
      </c>
      <c r="G8" s="6">
        <v>10</v>
      </c>
      <c r="H8" s="17">
        <v>1</v>
      </c>
      <c r="I8" s="18">
        <f t="shared" si="0"/>
        <v>148</v>
      </c>
    </row>
    <row r="9" spans="1:9" ht="15.75" customHeight="1" x14ac:dyDescent="0.3">
      <c r="A9" s="5" t="s">
        <v>8</v>
      </c>
      <c r="B9" s="6">
        <v>1</v>
      </c>
      <c r="C9" s="6">
        <v>4</v>
      </c>
      <c r="D9" s="6">
        <v>-8</v>
      </c>
      <c r="E9" s="6">
        <v>0</v>
      </c>
      <c r="F9" s="6">
        <v>-4</v>
      </c>
      <c r="G9" s="6">
        <v>5</v>
      </c>
      <c r="H9" s="17">
        <v>1</v>
      </c>
      <c r="I9" s="18">
        <f t="shared" si="0"/>
        <v>97</v>
      </c>
    </row>
    <row r="10" spans="1:9" ht="15" customHeight="1" x14ac:dyDescent="0.3">
      <c r="A10" s="5" t="s">
        <v>9</v>
      </c>
      <c r="B10" s="6">
        <v>1</v>
      </c>
      <c r="C10" s="6">
        <v>4</v>
      </c>
      <c r="D10" s="6">
        <v>-16</v>
      </c>
      <c r="E10" s="6">
        <v>0</v>
      </c>
      <c r="F10" s="6">
        <v>-8</v>
      </c>
      <c r="G10" s="6">
        <v>10</v>
      </c>
      <c r="H10" s="17">
        <v>1</v>
      </c>
      <c r="I10" s="18">
        <f t="shared" si="0"/>
        <v>194</v>
      </c>
    </row>
    <row r="11" spans="1:9" ht="16.5" customHeight="1" x14ac:dyDescent="0.3">
      <c r="A11" s="13" t="s">
        <v>33</v>
      </c>
      <c r="B11" s="19"/>
      <c r="C11" s="19"/>
      <c r="D11" s="19"/>
      <c r="E11" s="19"/>
      <c r="F11" s="19"/>
      <c r="G11" s="19"/>
      <c r="H11" s="20">
        <f>SUM(H3:H10)</f>
        <v>8</v>
      </c>
      <c r="I11" s="21"/>
    </row>
    <row r="12" spans="1:9" ht="15.75" customHeight="1" x14ac:dyDescent="0.3">
      <c r="A12" s="10" t="s">
        <v>32</v>
      </c>
      <c r="B12" s="12"/>
      <c r="C12" s="12"/>
      <c r="D12" s="12"/>
      <c r="E12" s="12"/>
      <c r="F12" s="12"/>
      <c r="G12" s="12"/>
      <c r="H12" s="15"/>
      <c r="I12" s="16"/>
    </row>
    <row r="13" spans="1:9" ht="18" customHeight="1" x14ac:dyDescent="0.3">
      <c r="A13" s="5" t="s">
        <v>10</v>
      </c>
      <c r="B13" s="6">
        <v>1</v>
      </c>
      <c r="C13" s="6">
        <v>20</v>
      </c>
      <c r="D13" s="6">
        <v>-4</v>
      </c>
      <c r="E13" s="6">
        <v>0</v>
      </c>
      <c r="F13" s="6">
        <v>-2</v>
      </c>
      <c r="G13" s="6">
        <v>0</v>
      </c>
      <c r="H13" s="17">
        <v>1</v>
      </c>
      <c r="I13" s="18">
        <f t="shared" si="0"/>
        <v>46</v>
      </c>
    </row>
    <row r="14" spans="1:9" ht="17.25" customHeight="1" x14ac:dyDescent="0.3">
      <c r="A14" s="5" t="s">
        <v>11</v>
      </c>
      <c r="B14" s="6">
        <v>1</v>
      </c>
      <c r="C14" s="6">
        <v>5</v>
      </c>
      <c r="D14" s="6">
        <v>-1</v>
      </c>
      <c r="E14" s="6">
        <v>0</v>
      </c>
      <c r="F14" s="6">
        <v>-1</v>
      </c>
      <c r="G14" s="6">
        <v>5</v>
      </c>
      <c r="H14" s="17">
        <v>1</v>
      </c>
      <c r="I14" s="18">
        <f t="shared" si="0"/>
        <v>18</v>
      </c>
    </row>
    <row r="15" spans="1:9" ht="17.25" customHeight="1" x14ac:dyDescent="0.25">
      <c r="A15" s="5" t="s">
        <v>12</v>
      </c>
      <c r="B15" s="6">
        <v>1</v>
      </c>
      <c r="C15" s="6">
        <v>3</v>
      </c>
      <c r="D15" s="6">
        <v>-3</v>
      </c>
      <c r="E15" s="6">
        <v>0</v>
      </c>
      <c r="F15" s="6">
        <v>-2</v>
      </c>
      <c r="G15" s="6">
        <v>3</v>
      </c>
      <c r="H15" s="17">
        <v>1</v>
      </c>
      <c r="I15" s="18">
        <f t="shared" si="0"/>
        <v>39</v>
      </c>
    </row>
    <row r="16" spans="1:9" ht="17.25" customHeight="1" x14ac:dyDescent="0.25">
      <c r="A16" s="5" t="s">
        <v>13</v>
      </c>
      <c r="B16" s="6">
        <v>1</v>
      </c>
      <c r="C16" s="6">
        <v>10</v>
      </c>
      <c r="D16" s="6">
        <v>-4</v>
      </c>
      <c r="E16" s="6">
        <v>0</v>
      </c>
      <c r="F16" s="6">
        <v>-2</v>
      </c>
      <c r="G16" s="6">
        <v>4</v>
      </c>
      <c r="H16" s="17">
        <v>1</v>
      </c>
      <c r="I16" s="18">
        <f t="shared" si="0"/>
        <v>50</v>
      </c>
    </row>
    <row r="17" spans="1:9" ht="17.25" customHeight="1" x14ac:dyDescent="0.25">
      <c r="A17" s="5" t="s">
        <v>14</v>
      </c>
      <c r="B17" s="6">
        <v>1</v>
      </c>
      <c r="C17" s="6">
        <v>10</v>
      </c>
      <c r="D17" s="6">
        <v>-2</v>
      </c>
      <c r="E17" s="6">
        <v>0</v>
      </c>
      <c r="F17" s="6">
        <v>-1</v>
      </c>
      <c r="G17" s="6">
        <v>7</v>
      </c>
      <c r="H17" s="17">
        <v>1</v>
      </c>
      <c r="I17" s="18">
        <f t="shared" si="0"/>
        <v>30</v>
      </c>
    </row>
    <row r="18" spans="1:9" ht="19.5" customHeight="1" x14ac:dyDescent="0.25">
      <c r="A18" s="5" t="s">
        <v>15</v>
      </c>
      <c r="B18" s="6">
        <v>1</v>
      </c>
      <c r="C18" s="6">
        <v>5</v>
      </c>
      <c r="D18" s="6">
        <v>-2</v>
      </c>
      <c r="E18" s="6">
        <v>0</v>
      </c>
      <c r="F18" s="6">
        <v>-1</v>
      </c>
      <c r="G18" s="6">
        <v>0</v>
      </c>
      <c r="H18" s="17">
        <v>1</v>
      </c>
      <c r="I18" s="18">
        <f t="shared" si="0"/>
        <v>23</v>
      </c>
    </row>
    <row r="19" spans="1:9" ht="15" customHeight="1" x14ac:dyDescent="0.25">
      <c r="A19" s="5" t="s">
        <v>16</v>
      </c>
      <c r="B19" s="6">
        <v>1</v>
      </c>
      <c r="C19" s="6">
        <v>20</v>
      </c>
      <c r="D19" s="6">
        <v>-6</v>
      </c>
      <c r="E19" s="6">
        <v>0</v>
      </c>
      <c r="F19" s="6">
        <v>-3</v>
      </c>
      <c r="G19" s="6">
        <v>10</v>
      </c>
      <c r="H19" s="17">
        <v>1</v>
      </c>
      <c r="I19" s="18">
        <f t="shared" si="0"/>
        <v>79</v>
      </c>
    </row>
    <row r="20" spans="1:9" ht="15.75" customHeight="1" x14ac:dyDescent="0.25">
      <c r="A20" s="5" t="s">
        <v>17</v>
      </c>
      <c r="B20" s="6">
        <v>1</v>
      </c>
      <c r="C20" s="6">
        <v>20</v>
      </c>
      <c r="D20" s="6">
        <v>-1</v>
      </c>
      <c r="E20" s="6">
        <v>0</v>
      </c>
      <c r="F20" s="6">
        <v>-1</v>
      </c>
      <c r="G20" s="6">
        <v>10</v>
      </c>
      <c r="H20" s="17">
        <v>1</v>
      </c>
      <c r="I20" s="18">
        <f t="shared" si="0"/>
        <v>23</v>
      </c>
    </row>
    <row r="21" spans="1:9" ht="18" customHeight="1" x14ac:dyDescent="0.25">
      <c r="A21" s="5" t="s">
        <v>18</v>
      </c>
      <c r="B21" s="6">
        <v>1</v>
      </c>
      <c r="C21" s="6">
        <v>10</v>
      </c>
      <c r="D21" s="6">
        <v>-4</v>
      </c>
      <c r="E21" s="6">
        <v>0</v>
      </c>
      <c r="F21" s="6">
        <v>-2</v>
      </c>
      <c r="G21" s="6">
        <v>10</v>
      </c>
      <c r="H21" s="17">
        <v>1</v>
      </c>
      <c r="I21" s="18">
        <f t="shared" si="0"/>
        <v>56</v>
      </c>
    </row>
    <row r="22" spans="1:9" ht="15.75" customHeight="1" x14ac:dyDescent="0.25">
      <c r="A22" s="13" t="s">
        <v>39</v>
      </c>
      <c r="B22" s="19"/>
      <c r="C22" s="19"/>
      <c r="D22" s="19"/>
      <c r="E22" s="19"/>
      <c r="F22" s="19"/>
      <c r="G22" s="19"/>
      <c r="H22" s="20">
        <f>SUM(H13:H21)</f>
        <v>9</v>
      </c>
      <c r="I22" s="21"/>
    </row>
    <row r="23" spans="1:9" ht="15.75" customHeight="1" x14ac:dyDescent="0.25">
      <c r="A23" s="10" t="s">
        <v>34</v>
      </c>
      <c r="B23" s="12"/>
      <c r="C23" s="12"/>
      <c r="D23" s="12"/>
      <c r="E23" s="12"/>
      <c r="F23" s="12"/>
      <c r="G23" s="12"/>
      <c r="H23" s="15"/>
      <c r="I23" s="16"/>
    </row>
    <row r="24" spans="1:9" ht="15.75" customHeight="1" x14ac:dyDescent="0.25">
      <c r="A24" s="5" t="s">
        <v>19</v>
      </c>
      <c r="B24" s="6">
        <v>1</v>
      </c>
      <c r="C24" s="6">
        <v>5</v>
      </c>
      <c r="D24" s="6">
        <v>-6</v>
      </c>
      <c r="E24" s="6">
        <v>10</v>
      </c>
      <c r="F24" s="6">
        <v>-3</v>
      </c>
      <c r="G24" s="6">
        <v>0</v>
      </c>
      <c r="H24" s="17">
        <v>1</v>
      </c>
      <c r="I24" s="18">
        <f t="shared" si="0"/>
        <v>89</v>
      </c>
    </row>
    <row r="25" spans="1:9" ht="16.5" customHeight="1" x14ac:dyDescent="0.25">
      <c r="A25" s="5" t="s">
        <v>20</v>
      </c>
      <c r="B25" s="6">
        <v>1</v>
      </c>
      <c r="C25" s="6">
        <v>30</v>
      </c>
      <c r="D25" s="6">
        <v>-6</v>
      </c>
      <c r="E25" s="6">
        <v>15</v>
      </c>
      <c r="F25" s="6">
        <v>-3</v>
      </c>
      <c r="G25" s="6">
        <v>0</v>
      </c>
      <c r="H25" s="17">
        <v>1</v>
      </c>
      <c r="I25" s="18">
        <f t="shared" si="0"/>
        <v>99</v>
      </c>
    </row>
    <row r="26" spans="1:9" ht="18" customHeight="1" x14ac:dyDescent="0.25">
      <c r="A26" s="5" t="s">
        <v>21</v>
      </c>
      <c r="B26" s="6">
        <v>1</v>
      </c>
      <c r="C26" s="6">
        <v>5</v>
      </c>
      <c r="D26" s="6">
        <v>-6</v>
      </c>
      <c r="E26" s="6">
        <v>5</v>
      </c>
      <c r="F26" s="6">
        <v>-3</v>
      </c>
      <c r="G26" s="6">
        <v>0</v>
      </c>
      <c r="H26" s="17">
        <v>1</v>
      </c>
      <c r="I26" s="18">
        <f t="shared" si="0"/>
        <v>79</v>
      </c>
    </row>
    <row r="27" spans="1:9" ht="15.75" customHeight="1" x14ac:dyDescent="0.25">
      <c r="A27" s="5" t="s">
        <v>22</v>
      </c>
      <c r="B27" s="6">
        <v>1</v>
      </c>
      <c r="C27" s="6">
        <v>5</v>
      </c>
      <c r="D27" s="6">
        <v>-8</v>
      </c>
      <c r="E27" s="6">
        <v>20</v>
      </c>
      <c r="F27" s="6">
        <v>-4</v>
      </c>
      <c r="G27" s="6">
        <v>0</v>
      </c>
      <c r="H27" s="17">
        <v>1</v>
      </c>
      <c r="I27" s="18">
        <f t="shared" si="0"/>
        <v>132</v>
      </c>
    </row>
    <row r="28" spans="1:9" ht="15.75" customHeight="1" x14ac:dyDescent="0.25">
      <c r="A28" s="5" t="s">
        <v>23</v>
      </c>
      <c r="B28" s="6">
        <v>1</v>
      </c>
      <c r="C28" s="6">
        <v>3</v>
      </c>
      <c r="D28" s="6">
        <v>-3</v>
      </c>
      <c r="E28" s="6">
        <v>0</v>
      </c>
      <c r="F28" s="6">
        <v>-2</v>
      </c>
      <c r="G28" s="6">
        <v>0</v>
      </c>
      <c r="H28" s="17">
        <v>1</v>
      </c>
      <c r="I28" s="18">
        <f t="shared" si="0"/>
        <v>36</v>
      </c>
    </row>
    <row r="29" spans="1:9" ht="15.75" customHeight="1" x14ac:dyDescent="0.25">
      <c r="A29" s="13" t="s">
        <v>35</v>
      </c>
      <c r="B29" s="19"/>
      <c r="C29" s="19"/>
      <c r="D29" s="19"/>
      <c r="E29" s="19"/>
      <c r="F29" s="19"/>
      <c r="G29" s="19"/>
      <c r="H29" s="20">
        <f>SUM(H24:H28)</f>
        <v>5</v>
      </c>
      <c r="I29" s="21"/>
    </row>
    <row r="30" spans="1:9" x14ac:dyDescent="0.25">
      <c r="A30" s="2"/>
      <c r="B30" s="1"/>
      <c r="C30" s="1"/>
      <c r="D30" s="1"/>
      <c r="E30" s="1"/>
      <c r="F30" s="1"/>
      <c r="G30" s="8"/>
      <c r="H30" s="1"/>
      <c r="I30" s="7"/>
    </row>
    <row r="31" spans="1:9" x14ac:dyDescent="0.25">
      <c r="A31" s="1"/>
      <c r="B31" s="1"/>
      <c r="C31" s="1"/>
      <c r="D31" s="1"/>
      <c r="E31" s="1"/>
      <c r="F31" s="1"/>
      <c r="G31" s="1"/>
      <c r="H31" s="1"/>
      <c r="I31" s="1"/>
    </row>
    <row r="32" spans="1:9" x14ac:dyDescent="0.25">
      <c r="E32" s="8" t="s">
        <v>36</v>
      </c>
      <c r="F32" s="22">
        <f>SUM(H11+H22+H29)</f>
        <v>22</v>
      </c>
      <c r="G32" t="s">
        <v>38</v>
      </c>
    </row>
    <row r="33" spans="5:6" x14ac:dyDescent="0.25">
      <c r="E33" s="8" t="s">
        <v>37</v>
      </c>
      <c r="F33" s="22">
        <f>SUM(I3:I28)</f>
        <v>1841</v>
      </c>
    </row>
  </sheetData>
  <conditionalFormatting sqref="H3:H10 H12:H21 H23:H28">
    <cfRule type="cellIs" dxfId="4" priority="5" operator="greaterThan">
      <formula>C3</formula>
    </cfRule>
  </conditionalFormatting>
  <conditionalFormatting sqref="H11">
    <cfRule type="cellIs" dxfId="3" priority="4" operator="greaterThan">
      <formula>50</formula>
    </cfRule>
  </conditionalFormatting>
  <conditionalFormatting sqref="H22">
    <cfRule type="cellIs" dxfId="2" priority="3" operator="greaterThan">
      <formula>75</formula>
    </cfRule>
  </conditionalFormatting>
  <conditionalFormatting sqref="H29">
    <cfRule type="cellIs" dxfId="1" priority="2" operator="greaterThan">
      <formula>25</formula>
    </cfRule>
  </conditionalFormatting>
  <conditionalFormatting sqref="F32">
    <cfRule type="cellIs" dxfId="0" priority="1" operator="greaterThan">
      <formula>100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B32" sqref="B32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clant</dc:creator>
  <cp:lastModifiedBy>David Xiong</cp:lastModifiedBy>
  <cp:lastPrinted>2011-11-09T19:50:37Z</cp:lastPrinted>
  <dcterms:created xsi:type="dcterms:W3CDTF">2011-02-08T20:42:23Z</dcterms:created>
  <dcterms:modified xsi:type="dcterms:W3CDTF">2012-04-05T17:06:44Z</dcterms:modified>
</cp:coreProperties>
</file>