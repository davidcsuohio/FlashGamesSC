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135" windowHeight="8130"/>
  </bookViews>
  <sheets>
    <sheet name="Sheet1" sheetId="1" r:id="rId1"/>
    <sheet name="Sheet2" sheetId="2" r:id="rId2"/>
    <sheet name="Sheet4" sheetId="4" r:id="rId3"/>
  </sheets>
  <definedNames>
    <definedName name="l_2015">Sheet1!$U$5:$U$16</definedName>
  </definedNames>
  <calcPr calcId="145621"/>
</workbook>
</file>

<file path=xl/calcChain.xml><?xml version="1.0" encoding="utf-8"?>
<calcChain xmlns="http://schemas.openxmlformats.org/spreadsheetml/2006/main">
  <c r="O34" i="1" l="1"/>
  <c r="N34" i="1"/>
  <c r="M34" i="1"/>
  <c r="L34" i="1"/>
  <c r="K34" i="1"/>
  <c r="J34" i="1"/>
  <c r="I34" i="1"/>
  <c r="H34" i="1"/>
  <c r="G34" i="1"/>
  <c r="F34" i="1"/>
  <c r="E34" i="1"/>
  <c r="D34" i="1"/>
  <c r="C34" i="1"/>
  <c r="O45" i="1"/>
  <c r="O44" i="1" s="1"/>
  <c r="N45" i="1"/>
  <c r="N44" i="1" s="1"/>
  <c r="M45" i="1"/>
  <c r="M44" i="1" s="1"/>
  <c r="L45" i="1"/>
  <c r="L44" i="1" s="1"/>
  <c r="L46" i="1"/>
  <c r="K45" i="1"/>
  <c r="K44" i="1" s="1"/>
  <c r="J45" i="1"/>
  <c r="J44" i="1" s="1"/>
  <c r="I45" i="1"/>
  <c r="I44" i="1" s="1"/>
  <c r="H45" i="1"/>
  <c r="H44" i="1" s="1"/>
  <c r="G45" i="1"/>
  <c r="G44" i="1" s="1"/>
  <c r="H53" i="1" l="1"/>
  <c r="I53" i="1"/>
  <c r="J53" i="1"/>
  <c r="K53" i="1"/>
  <c r="L53" i="1"/>
  <c r="M53" i="1"/>
  <c r="N53" i="1"/>
  <c r="O53" i="1"/>
  <c r="G53" i="1"/>
  <c r="H24" i="1"/>
  <c r="I24" i="1"/>
  <c r="J24" i="1"/>
  <c r="K24" i="1"/>
  <c r="L24" i="1"/>
  <c r="M24" i="1"/>
  <c r="N24" i="1"/>
  <c r="O24" i="1"/>
  <c r="G35" i="1" l="1"/>
  <c r="O52" i="1"/>
  <c r="O51" i="1"/>
  <c r="N52" i="1"/>
  <c r="N51" i="1"/>
  <c r="M52" i="1"/>
  <c r="M51" i="1"/>
  <c r="L52" i="1"/>
  <c r="L51" i="1"/>
  <c r="K52" i="1"/>
  <c r="K51" i="1"/>
  <c r="J52" i="1"/>
  <c r="J51" i="1"/>
  <c r="I52" i="1"/>
  <c r="I51" i="1"/>
  <c r="H52" i="1"/>
  <c r="H51" i="1"/>
  <c r="O50" i="1"/>
  <c r="N50" i="1"/>
  <c r="M50" i="1"/>
  <c r="L50" i="1"/>
  <c r="K50" i="1"/>
  <c r="J50" i="1"/>
  <c r="I50" i="1"/>
  <c r="H50" i="1"/>
  <c r="D35" i="1"/>
  <c r="E35" i="1"/>
  <c r="F35" i="1"/>
  <c r="H35" i="1"/>
  <c r="I35" i="1"/>
  <c r="J35" i="1"/>
  <c r="K35" i="1"/>
  <c r="L35" i="1"/>
  <c r="M35" i="1"/>
  <c r="N35" i="1"/>
  <c r="O35" i="1"/>
  <c r="C35" i="1"/>
  <c r="L54" i="1" l="1"/>
  <c r="K54" i="1"/>
  <c r="J54" i="1"/>
  <c r="I54" i="1"/>
  <c r="O54" i="1"/>
  <c r="M54" i="1"/>
  <c r="N54" i="1"/>
  <c r="G17" i="1"/>
  <c r="H54" i="1"/>
  <c r="H32" i="1"/>
  <c r="I32" i="1"/>
  <c r="J32" i="1"/>
  <c r="K32" i="1"/>
  <c r="L32" i="1"/>
  <c r="M32" i="1"/>
  <c r="N32" i="1"/>
  <c r="O32" i="1"/>
  <c r="H48" i="1"/>
  <c r="I48" i="1"/>
  <c r="J48" i="1"/>
  <c r="K48" i="1"/>
  <c r="L48" i="1"/>
  <c r="M48" i="1"/>
  <c r="N48" i="1"/>
  <c r="O48" i="1"/>
  <c r="G48" i="1"/>
  <c r="H47" i="1"/>
  <c r="I47" i="1"/>
  <c r="J47" i="1"/>
  <c r="K47" i="1"/>
  <c r="L47" i="1"/>
  <c r="M47" i="1"/>
  <c r="N47" i="1"/>
  <c r="O47" i="1"/>
  <c r="G47" i="1"/>
  <c r="H46" i="1"/>
  <c r="I46" i="1"/>
  <c r="J46" i="1"/>
  <c r="K46" i="1"/>
  <c r="M46" i="1"/>
  <c r="N46" i="1"/>
  <c r="O46" i="1"/>
  <c r="G46" i="1"/>
  <c r="H38" i="1"/>
  <c r="I38" i="1"/>
  <c r="J38" i="1"/>
  <c r="K38" i="1"/>
  <c r="L38" i="1"/>
  <c r="M38" i="1"/>
  <c r="N38" i="1"/>
  <c r="O38" i="1"/>
  <c r="H37" i="1"/>
  <c r="I37" i="1"/>
  <c r="J37" i="1"/>
  <c r="K37" i="1"/>
  <c r="L37" i="1"/>
  <c r="M37" i="1"/>
  <c r="N37" i="1"/>
  <c r="O37" i="1"/>
  <c r="H36" i="1"/>
  <c r="I36" i="1"/>
  <c r="J36" i="1"/>
  <c r="K36" i="1"/>
  <c r="L36" i="1"/>
  <c r="M36" i="1"/>
  <c r="N36" i="1"/>
  <c r="O36" i="1"/>
  <c r="D36" i="1"/>
  <c r="E36" i="1"/>
  <c r="F36" i="1"/>
  <c r="G36" i="1"/>
  <c r="H17" i="1"/>
  <c r="I17" i="1"/>
  <c r="J17" i="1"/>
  <c r="K17" i="1"/>
  <c r="L17" i="1"/>
  <c r="M17" i="1"/>
  <c r="N17" i="1"/>
  <c r="O17" i="1"/>
  <c r="G37" i="1"/>
  <c r="G24" i="1"/>
  <c r="G38" i="1"/>
  <c r="G52" i="1"/>
  <c r="G51" i="1"/>
  <c r="G50" i="1"/>
  <c r="D32" i="1"/>
  <c r="E32" i="1"/>
  <c r="F32" i="1"/>
  <c r="G32" i="1"/>
  <c r="C32" i="1"/>
  <c r="D24" i="1"/>
  <c r="E24" i="1"/>
  <c r="F24" i="1"/>
  <c r="C24" i="1"/>
  <c r="D17" i="1"/>
  <c r="E17" i="1"/>
  <c r="F17" i="1"/>
  <c r="C17" i="1"/>
  <c r="I39" i="1" l="1"/>
  <c r="H39" i="1"/>
  <c r="G54" i="1"/>
  <c r="K39" i="1"/>
  <c r="L39" i="1"/>
  <c r="N39" i="1"/>
  <c r="O39" i="1"/>
  <c r="M39" i="1"/>
  <c r="J39" i="1"/>
  <c r="G39" i="1"/>
  <c r="D38" i="1"/>
  <c r="E38" i="1"/>
  <c r="F38" i="1"/>
  <c r="C38" i="1"/>
  <c r="D37" i="1"/>
  <c r="D39" i="1" s="1"/>
  <c r="E37" i="1"/>
  <c r="E39" i="1" s="1"/>
  <c r="F37" i="1"/>
  <c r="F39" i="1" s="1"/>
  <c r="C37" i="1"/>
  <c r="C36" i="1"/>
  <c r="C39" i="1" l="1"/>
</calcChain>
</file>

<file path=xl/sharedStrings.xml><?xml version="1.0" encoding="utf-8"?>
<sst xmlns="http://schemas.openxmlformats.org/spreadsheetml/2006/main" count="122" uniqueCount="64">
  <si>
    <t>Energy Source</t>
  </si>
  <si>
    <t>Electricity</t>
  </si>
  <si>
    <t>coal</t>
  </si>
  <si>
    <t>natural gas</t>
  </si>
  <si>
    <t>hydro</t>
  </si>
  <si>
    <t>wind</t>
  </si>
  <si>
    <t>oil</t>
  </si>
  <si>
    <t>new nuclear</t>
  </si>
  <si>
    <t>solar</t>
  </si>
  <si>
    <t>fusion</t>
  </si>
  <si>
    <t>biofuels</t>
  </si>
  <si>
    <t>Vehicle Fuel</t>
  </si>
  <si>
    <t>Heating</t>
  </si>
  <si>
    <t>geothermal</t>
  </si>
  <si>
    <t>Total</t>
  </si>
  <si>
    <t>crop biofuels</t>
  </si>
  <si>
    <t>electricity*</t>
  </si>
  <si>
    <t>Total Natural Gas</t>
  </si>
  <si>
    <t>GHG (M tonnes)</t>
  </si>
  <si>
    <t>Total Coal</t>
  </si>
  <si>
    <t>Total Oil</t>
  </si>
  <si>
    <t>Total Fossil Fuels</t>
  </si>
  <si>
    <t>1960s-70s nuclear</t>
  </si>
  <si>
    <t>clean coal w/CCS</t>
  </si>
  <si>
    <t>cellulosic/algea biofuels</t>
  </si>
  <si>
    <t>* comes from overall electricty quads</t>
  </si>
  <si>
    <t>(Quads)</t>
  </si>
  <si>
    <t>Goal/Level of difficulty</t>
  </si>
  <si>
    <t>Very Easy</t>
  </si>
  <si>
    <t>Easy</t>
  </si>
  <si>
    <t>Medium</t>
  </si>
  <si>
    <t>Hard</t>
  </si>
  <si>
    <t>Very Hard</t>
  </si>
  <si>
    <t>Goal 2-Budget</t>
  </si>
  <si>
    <t>Goal 1-Energy needs</t>
  </si>
  <si>
    <t>Goal 3-Oil Limit (Quads)</t>
  </si>
  <si>
    <t>Goal 4-GHG Limit (BT)</t>
  </si>
  <si>
    <t>Energy source</t>
  </si>
  <si>
    <t>Limit</t>
  </si>
  <si>
    <t>Price</t>
  </si>
  <si>
    <t>old coal</t>
  </si>
  <si>
    <t>Vehicle fuel</t>
  </si>
  <si>
    <t>electricity</t>
  </si>
  <si>
    <t>natural gas (no limit)</t>
  </si>
  <si>
    <t>Coal (no limit)</t>
  </si>
  <si>
    <t>Electricity price</t>
  </si>
  <si>
    <t>Vehicle fuel price</t>
  </si>
  <si>
    <t>Heating price</t>
  </si>
  <si>
    <t>Total price</t>
  </si>
  <si>
    <t>Choose the level</t>
  </si>
  <si>
    <t>Efficiency investment</t>
  </si>
  <si>
    <t>Efficiency price</t>
  </si>
  <si>
    <t>Vehicle fuel minimum (Quads)</t>
  </si>
  <si>
    <t>efficiency price:</t>
  </si>
  <si>
    <t>starts at 5 and goes up by one for each unit placed in efficiency investment</t>
  </si>
  <si>
    <t>Electricity required (Quads)</t>
  </si>
  <si>
    <t>Energy needs required per chosen level (Quads)</t>
  </si>
  <si>
    <t>Budget per chosen level (billion dollars)</t>
  </si>
  <si>
    <t>Oil limit per chosen level (Quads)</t>
  </si>
  <si>
    <t>GHG limit per chosen level (B tonnes)</t>
  </si>
  <si>
    <t>oil(limit level-based)</t>
  </si>
  <si>
    <t>oil (limit level-based)</t>
  </si>
  <si>
    <t>Very easy</t>
  </si>
  <si>
    <t>Heat minimum (Quads)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</si>
</sst>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0" fontId="1" fillId="4" borderId="0" xfId="0" applyFont="1" applyFill="1"/>
    <xf numFmtId="0" fontId="0" fillId="4" borderId="0" xfId="0" applyFont="1" applyFill="1"/>
    <xf numFmtId="0" fontId="0" fillId="4" borderId="0" xfId="0" applyFill="1"/>
    <xf numFmtId="0" fontId="2" fillId="4" borderId="0" xfId="0" applyFont="1" applyFill="1"/>
    <xf numFmtId="0" fontId="5" fillId="5" borderId="0" xfId="0" applyFont="1" applyFill="1"/>
    <xf numFmtId="0" fontId="5" fillId="0" borderId="0" xfId="0" applyFont="1" applyFill="1"/>
    <xf numFmtId="0" fontId="0" fillId="0" borderId="0" xfId="0" applyFill="1"/>
    <xf numFmtId="0" fontId="0" fillId="6" borderId="0" xfId="0" applyFill="1"/>
    <xf numFmtId="0" fontId="1" fillId="0" borderId="0" xfId="0" applyFont="1" applyFill="1"/>
    <xf numFmtId="0" fontId="1" fillId="0" borderId="0" xfId="0" applyFont="1" applyProtection="1">
      <protection locked="0"/>
    </xf>
    <xf numFmtId="0" fontId="0" fillId="0" borderId="0" xfId="0" applyFont="1" applyProtection="1">
      <protection locked="0"/>
    </xf>
    <xf numFmtId="0" fontId="1" fillId="0" borderId="0" xfId="0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6" borderId="0" xfId="0" applyFill="1" applyProtection="1">
      <protection locked="0"/>
    </xf>
    <xf numFmtId="0" fontId="1" fillId="4" borderId="0" xfId="0" applyFont="1" applyFill="1" applyProtection="1"/>
    <xf numFmtId="0" fontId="0" fillId="4" borderId="0" xfId="0" applyFill="1" applyProtection="1"/>
    <xf numFmtId="0" fontId="6" fillId="0" borderId="0" xfId="0" applyFont="1" applyProtection="1">
      <protection locked="0"/>
    </xf>
    <xf numFmtId="0" fontId="0" fillId="0" borderId="0" xfId="0" applyProtection="1"/>
    <xf numFmtId="0" fontId="7" fillId="6" borderId="0" xfId="2" applyFont="1" applyFill="1" applyProtection="1">
      <protection locked="0"/>
    </xf>
    <xf numFmtId="0" fontId="7" fillId="0" borderId="0" xfId="2" applyFont="1" applyFill="1" applyProtection="1"/>
    <xf numFmtId="0" fontId="7" fillId="0" borderId="0" xfId="1" applyFont="1" applyFill="1" applyProtection="1"/>
    <xf numFmtId="0" fontId="7" fillId="0" borderId="0" xfId="0" applyFont="1" applyProtection="1"/>
    <xf numFmtId="0" fontId="7" fillId="0" borderId="0" xfId="0" applyFont="1" applyFill="1" applyProtection="1"/>
  </cellXfs>
  <cellStyles count="3">
    <cellStyle name="Bad" xfId="1" builtinId="27"/>
    <cellStyle name="Neutral" xfId="2" builtinId="28"/>
    <cellStyle name="Normal" xfId="0" builtinId="0"/>
  </cellStyles>
  <dxfs count="149">
    <dxf>
      <font>
        <color rgb="FFC00000"/>
      </font>
      <numFmt numFmtId="0" formatCode="General"/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C00000"/>
      </font>
      <numFmt numFmtId="0" formatCode="General"/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numFmt numFmtId="0" formatCode="General"/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numFmt numFmtId="0" formatCode="General"/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C7CE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6</xdr:col>
          <xdr:colOff>19050</xdr:colOff>
          <xdr:row>1</xdr:row>
          <xdr:rowOff>57150</xdr:rowOff>
        </xdr:to>
        <xdr:sp macro="" textlink="">
          <xdr:nvSpPr>
            <xdr:cNvPr id="1030" name="cmblevel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55</xdr:row>
          <xdr:rowOff>0</xdr:rowOff>
        </xdr:from>
        <xdr:to>
          <xdr:col>7</xdr:col>
          <xdr:colOff>0</xdr:colOff>
          <xdr:row>57</xdr:row>
          <xdr:rowOff>0</xdr:rowOff>
        </xdr:to>
        <xdr:sp macro="" textlink="">
          <xdr:nvSpPr>
            <xdr:cNvPr id="1031" name="cmd2010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55</xdr:row>
          <xdr:rowOff>0</xdr:rowOff>
        </xdr:from>
        <xdr:to>
          <xdr:col>8</xdr:col>
          <xdr:colOff>0</xdr:colOff>
          <xdr:row>57</xdr:row>
          <xdr:rowOff>0</xdr:rowOff>
        </xdr:to>
        <xdr:sp macro="" textlink="">
          <xdr:nvSpPr>
            <xdr:cNvPr id="1032" name="cmd201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55</xdr:row>
          <xdr:rowOff>0</xdr:rowOff>
        </xdr:from>
        <xdr:to>
          <xdr:col>9</xdr:col>
          <xdr:colOff>0</xdr:colOff>
          <xdr:row>57</xdr:row>
          <xdr:rowOff>0</xdr:rowOff>
        </xdr:to>
        <xdr:sp macro="" textlink="">
          <xdr:nvSpPr>
            <xdr:cNvPr id="1033" name="cmd2020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55</xdr:row>
          <xdr:rowOff>0</xdr:rowOff>
        </xdr:from>
        <xdr:to>
          <xdr:col>10</xdr:col>
          <xdr:colOff>0</xdr:colOff>
          <xdr:row>57</xdr:row>
          <xdr:rowOff>0</xdr:rowOff>
        </xdr:to>
        <xdr:sp macro="" textlink="">
          <xdr:nvSpPr>
            <xdr:cNvPr id="1034" name="cmd2025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55</xdr:row>
          <xdr:rowOff>0</xdr:rowOff>
        </xdr:from>
        <xdr:to>
          <xdr:col>11</xdr:col>
          <xdr:colOff>0</xdr:colOff>
          <xdr:row>57</xdr:row>
          <xdr:rowOff>0</xdr:rowOff>
        </xdr:to>
        <xdr:sp macro="" textlink="">
          <xdr:nvSpPr>
            <xdr:cNvPr id="1035" name="cmd203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55</xdr:row>
          <xdr:rowOff>0</xdr:rowOff>
        </xdr:from>
        <xdr:to>
          <xdr:col>12</xdr:col>
          <xdr:colOff>0</xdr:colOff>
          <xdr:row>57</xdr:row>
          <xdr:rowOff>0</xdr:rowOff>
        </xdr:to>
        <xdr:sp macro="" textlink="">
          <xdr:nvSpPr>
            <xdr:cNvPr id="1036" name="cmd203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55</xdr:row>
          <xdr:rowOff>0</xdr:rowOff>
        </xdr:from>
        <xdr:to>
          <xdr:col>13</xdr:col>
          <xdr:colOff>0</xdr:colOff>
          <xdr:row>57</xdr:row>
          <xdr:rowOff>0</xdr:rowOff>
        </xdr:to>
        <xdr:sp macro="" textlink="">
          <xdr:nvSpPr>
            <xdr:cNvPr id="1037" name="cmd2040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55</xdr:row>
          <xdr:rowOff>0</xdr:rowOff>
        </xdr:from>
        <xdr:to>
          <xdr:col>13</xdr:col>
          <xdr:colOff>647700</xdr:colOff>
          <xdr:row>57</xdr:row>
          <xdr:rowOff>0</xdr:rowOff>
        </xdr:to>
        <xdr:sp macro="" textlink="">
          <xdr:nvSpPr>
            <xdr:cNvPr id="1038" name="cmd2045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55</xdr:row>
          <xdr:rowOff>0</xdr:rowOff>
        </xdr:from>
        <xdr:to>
          <xdr:col>15</xdr:col>
          <xdr:colOff>0</xdr:colOff>
          <xdr:row>57</xdr:row>
          <xdr:rowOff>0</xdr:rowOff>
        </xdr:to>
        <xdr:sp macro="" textlink="">
          <xdr:nvSpPr>
            <xdr:cNvPr id="1039" name="cmd2050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60"/>
  <sheetViews>
    <sheetView tabSelected="1" topLeftCell="A16" zoomScale="84" zoomScaleNormal="84" workbookViewId="0">
      <selection activeCell="G32" sqref="G32"/>
    </sheetView>
  </sheetViews>
  <sheetFormatPr defaultRowHeight="15" x14ac:dyDescent="0.25"/>
  <cols>
    <col min="1" max="1" width="0.28515625" customWidth="1"/>
    <col min="2" max="2" width="25.85546875" customWidth="1"/>
    <col min="3" max="3" width="6.140625" customWidth="1"/>
    <col min="4" max="4" width="5.28515625" customWidth="1"/>
    <col min="5" max="5" width="5.85546875" customWidth="1"/>
    <col min="6" max="6" width="5.42578125" customWidth="1"/>
    <col min="7" max="7" width="10" customWidth="1"/>
    <col min="8" max="11" width="9.7109375" customWidth="1"/>
    <col min="12" max="12" width="9.5703125" customWidth="1"/>
    <col min="13" max="13" width="9.7109375" customWidth="1"/>
    <col min="14" max="14" width="9.85546875" customWidth="1"/>
    <col min="15" max="15" width="10" customWidth="1"/>
    <col min="18" max="18" width="25.28515625" bestFit="1" customWidth="1"/>
  </cols>
  <sheetData>
    <row r="1" spans="1:36" x14ac:dyDescent="0.25">
      <c r="B1" t="s">
        <v>49</v>
      </c>
      <c r="C1" s="18"/>
      <c r="D1" s="18"/>
      <c r="E1" s="18"/>
      <c r="F1" s="18"/>
      <c r="H1" s="23" t="s">
        <v>62</v>
      </c>
    </row>
    <row r="2" spans="1:36" x14ac:dyDescent="0.25">
      <c r="C2" s="18"/>
      <c r="D2" s="18"/>
      <c r="E2" s="18"/>
      <c r="F2" s="18"/>
      <c r="R2" t="s">
        <v>37</v>
      </c>
      <c r="S2" s="1">
        <v>2010</v>
      </c>
      <c r="U2" s="1">
        <v>2015</v>
      </c>
      <c r="W2" s="1">
        <v>2020</v>
      </c>
      <c r="Y2" s="1">
        <v>2025</v>
      </c>
      <c r="AA2" s="1">
        <v>2030</v>
      </c>
      <c r="AC2" s="1">
        <v>2035</v>
      </c>
      <c r="AE2" s="1">
        <v>2040</v>
      </c>
      <c r="AG2" s="1">
        <v>2045</v>
      </c>
      <c r="AI2" s="1">
        <v>2050</v>
      </c>
    </row>
    <row r="3" spans="1:36" x14ac:dyDescent="0.25">
      <c r="A3" s="1"/>
      <c r="B3" t="s">
        <v>0</v>
      </c>
      <c r="C3" s="24">
        <v>1990</v>
      </c>
      <c r="D3" s="24">
        <v>1995</v>
      </c>
      <c r="E3" s="24">
        <v>2000</v>
      </c>
      <c r="F3" s="24">
        <v>2005</v>
      </c>
      <c r="G3" s="24">
        <v>2010</v>
      </c>
      <c r="H3" s="24">
        <v>2015</v>
      </c>
      <c r="I3" s="24">
        <v>2020</v>
      </c>
      <c r="J3" s="24">
        <v>2025</v>
      </c>
      <c r="K3" s="24">
        <v>2030</v>
      </c>
      <c r="L3" s="24">
        <v>2035</v>
      </c>
      <c r="M3" s="24">
        <v>2040</v>
      </c>
      <c r="N3" s="24">
        <v>2045</v>
      </c>
      <c r="O3" s="24">
        <v>2050</v>
      </c>
      <c r="Q3" s="8"/>
      <c r="S3" t="s">
        <v>38</v>
      </c>
      <c r="T3" t="s">
        <v>39</v>
      </c>
      <c r="U3" t="s">
        <v>38</v>
      </c>
      <c r="V3" t="s">
        <v>39</v>
      </c>
      <c r="W3" t="s">
        <v>38</v>
      </c>
      <c r="X3" t="s">
        <v>39</v>
      </c>
      <c r="Y3" t="s">
        <v>38</v>
      </c>
      <c r="Z3" t="s">
        <v>39</v>
      </c>
      <c r="AA3" t="s">
        <v>38</v>
      </c>
      <c r="AB3" t="s">
        <v>39</v>
      </c>
      <c r="AC3" t="s">
        <v>38</v>
      </c>
      <c r="AD3" t="s">
        <v>39</v>
      </c>
      <c r="AE3" t="s">
        <v>38</v>
      </c>
      <c r="AF3" t="s">
        <v>39</v>
      </c>
      <c r="AG3" t="s">
        <v>38</v>
      </c>
      <c r="AH3" t="s">
        <v>39</v>
      </c>
      <c r="AI3" t="s">
        <v>38</v>
      </c>
      <c r="AJ3" t="s">
        <v>39</v>
      </c>
    </row>
    <row r="4" spans="1:36" x14ac:dyDescent="0.25">
      <c r="C4" s="18"/>
      <c r="D4" s="18"/>
      <c r="E4" s="18"/>
      <c r="F4" s="18"/>
      <c r="Q4" s="8"/>
      <c r="R4" s="1" t="s">
        <v>1</v>
      </c>
    </row>
    <row r="5" spans="1:36" x14ac:dyDescent="0.25">
      <c r="B5" t="s">
        <v>2</v>
      </c>
      <c r="C5" s="13">
        <v>21</v>
      </c>
      <c r="D5" s="13">
        <v>21</v>
      </c>
      <c r="E5" s="13">
        <v>21</v>
      </c>
      <c r="F5" s="13">
        <v>21</v>
      </c>
      <c r="G5" s="13"/>
      <c r="H5" s="13"/>
      <c r="I5" s="14"/>
      <c r="J5" s="13"/>
      <c r="K5" s="14"/>
      <c r="L5" s="14"/>
      <c r="M5" s="14"/>
      <c r="N5" s="14"/>
      <c r="O5" s="14"/>
      <c r="P5" s="3"/>
      <c r="Q5" s="8"/>
      <c r="R5" t="s">
        <v>40</v>
      </c>
      <c r="S5" s="24">
        <v>21</v>
      </c>
      <c r="T5" s="24">
        <v>10</v>
      </c>
      <c r="U5" s="24">
        <v>20</v>
      </c>
      <c r="V5" s="24">
        <v>10</v>
      </c>
      <c r="W5" s="24">
        <v>19</v>
      </c>
      <c r="X5" s="24">
        <v>10</v>
      </c>
      <c r="Y5" s="24">
        <v>18</v>
      </c>
      <c r="Z5" s="24">
        <v>10</v>
      </c>
      <c r="AA5" s="24">
        <v>17</v>
      </c>
      <c r="AB5" s="24">
        <v>10</v>
      </c>
      <c r="AC5" s="24">
        <v>16</v>
      </c>
      <c r="AD5" s="24">
        <v>10</v>
      </c>
      <c r="AE5" s="24">
        <v>15</v>
      </c>
      <c r="AF5" s="24">
        <v>10</v>
      </c>
      <c r="AG5" s="24">
        <v>14</v>
      </c>
      <c r="AH5" s="24">
        <v>10</v>
      </c>
      <c r="AI5" s="24">
        <v>13</v>
      </c>
      <c r="AJ5" s="24">
        <v>10</v>
      </c>
    </row>
    <row r="6" spans="1:36" x14ac:dyDescent="0.25">
      <c r="B6" t="s">
        <v>3</v>
      </c>
      <c r="C6" s="13">
        <v>4</v>
      </c>
      <c r="D6" s="13">
        <v>5</v>
      </c>
      <c r="E6" s="13">
        <v>6</v>
      </c>
      <c r="F6" s="13">
        <v>7</v>
      </c>
      <c r="G6" s="13"/>
      <c r="H6" s="13"/>
      <c r="I6" s="14"/>
      <c r="J6" s="13"/>
      <c r="K6" s="14"/>
      <c r="L6" s="14"/>
      <c r="M6" s="14"/>
      <c r="N6" s="14"/>
      <c r="O6" s="14"/>
      <c r="P6" s="3"/>
      <c r="Q6" s="8"/>
      <c r="R6" t="s">
        <v>3</v>
      </c>
      <c r="S6" s="26">
        <v>10</v>
      </c>
      <c r="T6" s="24">
        <v>14</v>
      </c>
      <c r="U6" s="26">
        <v>12</v>
      </c>
      <c r="V6" s="24">
        <v>14</v>
      </c>
      <c r="W6" s="26">
        <v>14</v>
      </c>
      <c r="X6" s="24">
        <v>14</v>
      </c>
      <c r="Y6" s="26">
        <v>16</v>
      </c>
      <c r="Z6" s="24">
        <v>14</v>
      </c>
      <c r="AA6" s="26">
        <v>18</v>
      </c>
      <c r="AB6" s="24">
        <v>14</v>
      </c>
      <c r="AC6" s="26">
        <v>20</v>
      </c>
      <c r="AD6" s="24">
        <v>15</v>
      </c>
      <c r="AE6" s="26">
        <v>22</v>
      </c>
      <c r="AF6" s="24">
        <v>16</v>
      </c>
      <c r="AG6" s="26">
        <v>20</v>
      </c>
      <c r="AH6" s="24">
        <v>17</v>
      </c>
      <c r="AI6" s="26">
        <v>18</v>
      </c>
      <c r="AJ6" s="24">
        <v>18</v>
      </c>
    </row>
    <row r="7" spans="1:36" x14ac:dyDescent="0.25">
      <c r="B7" t="s">
        <v>22</v>
      </c>
      <c r="C7" s="13">
        <v>8</v>
      </c>
      <c r="D7" s="13">
        <v>8</v>
      </c>
      <c r="E7" s="13">
        <v>8</v>
      </c>
      <c r="F7" s="13">
        <v>8</v>
      </c>
      <c r="G7" s="13"/>
      <c r="H7" s="13"/>
      <c r="I7" s="14"/>
      <c r="J7" s="13"/>
      <c r="K7" s="14"/>
      <c r="L7" s="14"/>
      <c r="M7" s="14"/>
      <c r="N7" s="14"/>
      <c r="O7" s="14"/>
      <c r="P7" s="3"/>
      <c r="Q7" s="8"/>
      <c r="R7" t="s">
        <v>22</v>
      </c>
      <c r="S7" s="24">
        <v>8</v>
      </c>
      <c r="T7" s="24">
        <v>10</v>
      </c>
      <c r="U7" s="24">
        <v>7</v>
      </c>
      <c r="V7" s="24">
        <v>10</v>
      </c>
      <c r="W7" s="24">
        <v>6</v>
      </c>
      <c r="X7" s="24">
        <v>10</v>
      </c>
      <c r="Y7" s="24">
        <v>5</v>
      </c>
      <c r="Z7" s="24">
        <v>10</v>
      </c>
      <c r="AA7" s="24">
        <v>4</v>
      </c>
      <c r="AB7" s="24">
        <v>10</v>
      </c>
      <c r="AC7" s="24">
        <v>3</v>
      </c>
      <c r="AD7" s="24">
        <v>10</v>
      </c>
      <c r="AE7" s="24">
        <v>2</v>
      </c>
      <c r="AF7" s="24">
        <v>10</v>
      </c>
      <c r="AG7" s="24">
        <v>1</v>
      </c>
      <c r="AH7" s="24">
        <v>10</v>
      </c>
      <c r="AI7" s="24">
        <v>0</v>
      </c>
      <c r="AJ7" s="24">
        <v>10</v>
      </c>
    </row>
    <row r="8" spans="1:36" x14ac:dyDescent="0.25">
      <c r="B8" t="s">
        <v>4</v>
      </c>
      <c r="C8" s="13">
        <v>3</v>
      </c>
      <c r="D8" s="13">
        <v>3</v>
      </c>
      <c r="E8" s="13">
        <v>3</v>
      </c>
      <c r="F8" s="13">
        <v>3</v>
      </c>
      <c r="G8" s="13"/>
      <c r="H8" s="13"/>
      <c r="I8" s="14"/>
      <c r="J8" s="13"/>
      <c r="K8" s="14"/>
      <c r="L8" s="14"/>
      <c r="M8" s="14"/>
      <c r="N8" s="14"/>
      <c r="O8" s="14"/>
      <c r="P8" s="3"/>
      <c r="Q8" s="8"/>
      <c r="R8" t="s">
        <v>4</v>
      </c>
      <c r="S8" s="24">
        <v>3</v>
      </c>
      <c r="T8" s="24">
        <v>8</v>
      </c>
      <c r="U8" s="24">
        <v>3</v>
      </c>
      <c r="V8" s="24">
        <v>8</v>
      </c>
      <c r="W8" s="24">
        <v>3</v>
      </c>
      <c r="X8" s="24">
        <v>8</v>
      </c>
      <c r="Y8" s="24">
        <v>3</v>
      </c>
      <c r="Z8" s="24">
        <v>8</v>
      </c>
      <c r="AA8" s="24">
        <v>3</v>
      </c>
      <c r="AB8" s="24">
        <v>8</v>
      </c>
      <c r="AC8" s="24">
        <v>3</v>
      </c>
      <c r="AD8" s="24">
        <v>8</v>
      </c>
      <c r="AE8" s="24">
        <v>3</v>
      </c>
      <c r="AF8" s="24">
        <v>8</v>
      </c>
      <c r="AG8" s="24">
        <v>3</v>
      </c>
      <c r="AH8" s="24">
        <v>8</v>
      </c>
      <c r="AI8" s="24">
        <v>3</v>
      </c>
      <c r="AJ8" s="24">
        <v>8</v>
      </c>
    </row>
    <row r="9" spans="1:36" x14ac:dyDescent="0.25">
      <c r="B9" t="s">
        <v>5</v>
      </c>
      <c r="C9" s="13">
        <v>0</v>
      </c>
      <c r="D9" s="13">
        <v>0</v>
      </c>
      <c r="E9" s="13">
        <v>0.1</v>
      </c>
      <c r="F9" s="13">
        <v>0.3</v>
      </c>
      <c r="G9" s="13"/>
      <c r="H9" s="13"/>
      <c r="I9" s="14"/>
      <c r="J9" s="13"/>
      <c r="K9" s="14"/>
      <c r="L9" s="14"/>
      <c r="M9" s="14"/>
      <c r="N9" s="14"/>
      <c r="O9" s="14"/>
      <c r="P9" s="3"/>
      <c r="Q9" s="8"/>
      <c r="R9" t="s">
        <v>5</v>
      </c>
      <c r="S9" s="24">
        <v>1</v>
      </c>
      <c r="T9" s="24">
        <v>15</v>
      </c>
      <c r="U9" s="24">
        <v>2</v>
      </c>
      <c r="V9" s="24">
        <v>15</v>
      </c>
      <c r="W9" s="24">
        <v>4</v>
      </c>
      <c r="X9" s="24">
        <v>15</v>
      </c>
      <c r="Y9" s="24">
        <v>6</v>
      </c>
      <c r="Z9" s="24">
        <v>15</v>
      </c>
      <c r="AA9" s="24">
        <v>8</v>
      </c>
      <c r="AB9" s="24">
        <v>15</v>
      </c>
      <c r="AC9" s="24">
        <v>10</v>
      </c>
      <c r="AD9" s="24">
        <v>15</v>
      </c>
      <c r="AE9" s="24">
        <v>12</v>
      </c>
      <c r="AF9" s="24">
        <v>15</v>
      </c>
      <c r="AG9" s="24">
        <v>16</v>
      </c>
      <c r="AH9" s="24">
        <v>15</v>
      </c>
      <c r="AI9" s="24">
        <v>20</v>
      </c>
      <c r="AJ9" s="24">
        <v>15</v>
      </c>
    </row>
    <row r="10" spans="1:36" x14ac:dyDescent="0.25">
      <c r="B10" t="s">
        <v>6</v>
      </c>
      <c r="C10" s="13">
        <v>0.7</v>
      </c>
      <c r="D10" s="13">
        <v>0.7</v>
      </c>
      <c r="E10" s="13">
        <v>0.7</v>
      </c>
      <c r="F10" s="13">
        <v>0.7</v>
      </c>
      <c r="G10" s="13"/>
      <c r="H10" s="13"/>
      <c r="I10" s="14"/>
      <c r="J10" s="13"/>
      <c r="K10" s="14"/>
      <c r="L10" s="14"/>
      <c r="M10" s="14"/>
      <c r="N10" s="14"/>
      <c r="O10" s="14"/>
      <c r="P10" s="3"/>
      <c r="Q10" s="8"/>
      <c r="R10" t="s">
        <v>6</v>
      </c>
      <c r="S10" s="24">
        <v>1</v>
      </c>
      <c r="T10" s="24">
        <v>12</v>
      </c>
      <c r="U10" s="24">
        <v>1</v>
      </c>
      <c r="V10" s="24">
        <v>16</v>
      </c>
      <c r="W10" s="24">
        <v>1</v>
      </c>
      <c r="X10" s="24">
        <v>20</v>
      </c>
      <c r="Y10" s="24">
        <v>1</v>
      </c>
      <c r="Z10" s="24">
        <v>24</v>
      </c>
      <c r="AA10" s="24">
        <v>1</v>
      </c>
      <c r="AB10" s="24">
        <v>28</v>
      </c>
      <c r="AC10" s="24">
        <v>1</v>
      </c>
      <c r="AD10" s="24">
        <v>32</v>
      </c>
      <c r="AE10" s="24">
        <v>1</v>
      </c>
      <c r="AF10" s="24">
        <v>36</v>
      </c>
      <c r="AG10" s="24">
        <v>1</v>
      </c>
      <c r="AH10" s="24">
        <v>40</v>
      </c>
      <c r="AI10" s="24">
        <v>1</v>
      </c>
      <c r="AJ10" s="24">
        <v>44</v>
      </c>
    </row>
    <row r="11" spans="1:36" x14ac:dyDescent="0.25">
      <c r="B11" t="s">
        <v>7</v>
      </c>
      <c r="C11" s="13">
        <v>0</v>
      </c>
      <c r="D11" s="13">
        <v>0</v>
      </c>
      <c r="E11" s="13">
        <v>0</v>
      </c>
      <c r="F11" s="13">
        <v>0</v>
      </c>
      <c r="G11" s="13"/>
      <c r="H11" s="13"/>
      <c r="I11" s="14"/>
      <c r="J11" s="13"/>
      <c r="K11" s="14"/>
      <c r="L11" s="14"/>
      <c r="M11" s="14"/>
      <c r="N11" s="14"/>
      <c r="O11" s="14"/>
      <c r="P11" s="3"/>
      <c r="Q11" s="8"/>
      <c r="R11" t="s">
        <v>7</v>
      </c>
      <c r="S11" s="24">
        <v>1</v>
      </c>
      <c r="T11" s="24">
        <v>20</v>
      </c>
      <c r="U11" s="24">
        <v>2</v>
      </c>
      <c r="V11" s="24">
        <v>20</v>
      </c>
      <c r="W11" s="24">
        <v>4</v>
      </c>
      <c r="X11" s="24">
        <v>20</v>
      </c>
      <c r="Y11" s="24">
        <v>8</v>
      </c>
      <c r="Z11" s="24">
        <v>19</v>
      </c>
      <c r="AA11" s="24">
        <v>12</v>
      </c>
      <c r="AB11" s="24">
        <v>18</v>
      </c>
      <c r="AC11" s="24">
        <v>16</v>
      </c>
      <c r="AD11" s="24">
        <v>17</v>
      </c>
      <c r="AE11" s="24">
        <v>20</v>
      </c>
      <c r="AF11" s="24">
        <v>16</v>
      </c>
      <c r="AG11" s="24">
        <v>24</v>
      </c>
      <c r="AH11" s="24">
        <v>16</v>
      </c>
      <c r="AI11" s="24">
        <v>28</v>
      </c>
      <c r="AJ11" s="24">
        <v>16</v>
      </c>
    </row>
    <row r="12" spans="1:36" x14ac:dyDescent="0.25">
      <c r="B12" t="s">
        <v>23</v>
      </c>
      <c r="C12" s="13">
        <v>0</v>
      </c>
      <c r="D12" s="13">
        <v>0</v>
      </c>
      <c r="E12" s="13">
        <v>0</v>
      </c>
      <c r="F12" s="13">
        <v>0</v>
      </c>
      <c r="G12" s="13"/>
      <c r="H12" s="13"/>
      <c r="I12" s="14"/>
      <c r="J12" s="13"/>
      <c r="K12" s="14"/>
      <c r="L12" s="14"/>
      <c r="M12" s="14"/>
      <c r="N12" s="14"/>
      <c r="O12" s="14"/>
      <c r="P12" s="3"/>
      <c r="Q12" s="8"/>
      <c r="R12" t="s">
        <v>23</v>
      </c>
      <c r="S12" s="24">
        <v>0</v>
      </c>
      <c r="T12" s="24">
        <v>25</v>
      </c>
      <c r="U12" s="24">
        <v>1</v>
      </c>
      <c r="V12" s="24">
        <v>24</v>
      </c>
      <c r="W12" s="24">
        <v>2</v>
      </c>
      <c r="X12" s="24">
        <v>23</v>
      </c>
      <c r="Y12" s="24">
        <v>4</v>
      </c>
      <c r="Z12" s="24">
        <v>22</v>
      </c>
      <c r="AA12" s="24">
        <v>8</v>
      </c>
      <c r="AB12" s="24">
        <v>21</v>
      </c>
      <c r="AC12" s="24">
        <v>12</v>
      </c>
      <c r="AD12" s="24">
        <v>20</v>
      </c>
      <c r="AE12" s="24">
        <v>16</v>
      </c>
      <c r="AF12" s="24">
        <v>19</v>
      </c>
      <c r="AG12" s="24">
        <v>20</v>
      </c>
      <c r="AH12" s="24">
        <v>18</v>
      </c>
      <c r="AI12" s="24">
        <v>24</v>
      </c>
      <c r="AJ12" s="24">
        <v>17</v>
      </c>
    </row>
    <row r="13" spans="1:36" x14ac:dyDescent="0.25">
      <c r="B13" t="s">
        <v>8</v>
      </c>
      <c r="C13" s="13">
        <v>0</v>
      </c>
      <c r="D13" s="13">
        <v>0</v>
      </c>
      <c r="E13" s="13">
        <v>0</v>
      </c>
      <c r="F13" s="13">
        <v>0</v>
      </c>
      <c r="G13" s="13"/>
      <c r="H13" s="13"/>
      <c r="I13" s="14"/>
      <c r="J13" s="13"/>
      <c r="K13" s="14"/>
      <c r="L13" s="14"/>
      <c r="M13" s="14"/>
      <c r="N13" s="14"/>
      <c r="O13" s="14"/>
      <c r="P13" s="3"/>
      <c r="Q13" s="8"/>
      <c r="R13" t="s">
        <v>8</v>
      </c>
      <c r="S13" s="24">
        <v>0</v>
      </c>
      <c r="T13" s="24">
        <v>40</v>
      </c>
      <c r="U13" s="24">
        <v>1</v>
      </c>
      <c r="V13" s="24">
        <v>35</v>
      </c>
      <c r="W13" s="24">
        <v>2</v>
      </c>
      <c r="X13" s="24">
        <v>30</v>
      </c>
      <c r="Y13" s="24">
        <v>4</v>
      </c>
      <c r="Z13" s="24">
        <v>25</v>
      </c>
      <c r="AA13" s="24">
        <v>8</v>
      </c>
      <c r="AB13" s="24">
        <v>20</v>
      </c>
      <c r="AC13" s="24">
        <v>12</v>
      </c>
      <c r="AD13" s="24">
        <v>19</v>
      </c>
      <c r="AE13" s="24">
        <v>16</v>
      </c>
      <c r="AF13" s="24">
        <v>18</v>
      </c>
      <c r="AG13" s="24">
        <v>20</v>
      </c>
      <c r="AH13" s="24">
        <v>17</v>
      </c>
      <c r="AI13" s="24">
        <v>24</v>
      </c>
      <c r="AJ13" s="24">
        <v>16</v>
      </c>
    </row>
    <row r="14" spans="1:36" x14ac:dyDescent="0.25">
      <c r="B14" t="s">
        <v>9</v>
      </c>
      <c r="C14" s="13">
        <v>0</v>
      </c>
      <c r="D14" s="13">
        <v>0</v>
      </c>
      <c r="E14" s="13">
        <v>0</v>
      </c>
      <c r="F14" s="13">
        <v>0</v>
      </c>
      <c r="G14" s="13"/>
      <c r="H14" s="13"/>
      <c r="I14" s="14"/>
      <c r="J14" s="13"/>
      <c r="K14" s="14"/>
      <c r="L14" s="14"/>
      <c r="M14" s="14"/>
      <c r="N14" s="14"/>
      <c r="O14" s="14"/>
      <c r="P14" s="3"/>
      <c r="Q14" s="8"/>
      <c r="R14" t="s">
        <v>9</v>
      </c>
      <c r="S14" s="24">
        <v>0</v>
      </c>
      <c r="T14" s="27">
        <v>0</v>
      </c>
      <c r="U14" s="24">
        <v>0</v>
      </c>
      <c r="V14" s="27">
        <v>0</v>
      </c>
      <c r="W14" s="24">
        <v>0</v>
      </c>
      <c r="X14" s="27">
        <v>0</v>
      </c>
      <c r="Y14" s="24">
        <v>0</v>
      </c>
      <c r="Z14" s="27">
        <v>0</v>
      </c>
      <c r="AA14" s="24">
        <v>0</v>
      </c>
      <c r="AB14" s="27">
        <v>0</v>
      </c>
      <c r="AC14" s="24">
        <v>0</v>
      </c>
      <c r="AD14" s="27">
        <v>0</v>
      </c>
      <c r="AE14" s="24">
        <v>0</v>
      </c>
      <c r="AF14" s="27">
        <v>0</v>
      </c>
      <c r="AG14" s="24">
        <v>1</v>
      </c>
      <c r="AH14" s="24">
        <v>100</v>
      </c>
      <c r="AI14" s="24">
        <v>4</v>
      </c>
      <c r="AJ14" s="24">
        <v>10</v>
      </c>
    </row>
    <row r="15" spans="1:36" x14ac:dyDescent="0.25">
      <c r="B15" t="s">
        <v>10</v>
      </c>
      <c r="C15" s="13">
        <v>0.5</v>
      </c>
      <c r="D15" s="13">
        <v>0.6</v>
      </c>
      <c r="E15" s="13">
        <v>0.7</v>
      </c>
      <c r="F15" s="13">
        <v>0.8</v>
      </c>
      <c r="G15" s="13"/>
      <c r="H15" s="13"/>
      <c r="I15" s="14"/>
      <c r="J15" s="13"/>
      <c r="K15" s="14"/>
      <c r="L15" s="14"/>
      <c r="M15" s="14"/>
      <c r="N15" s="14"/>
      <c r="O15" s="14"/>
      <c r="P15" s="3"/>
      <c r="Q15" s="8"/>
      <c r="R15" t="s">
        <v>10</v>
      </c>
      <c r="S15" s="24">
        <v>1</v>
      </c>
      <c r="T15" s="24">
        <v>20</v>
      </c>
      <c r="U15" s="24">
        <v>1</v>
      </c>
      <c r="V15" s="24">
        <v>19</v>
      </c>
      <c r="W15" s="24">
        <v>1</v>
      </c>
      <c r="X15" s="24">
        <v>18</v>
      </c>
      <c r="Y15" s="24">
        <v>1</v>
      </c>
      <c r="Z15" s="24">
        <v>17</v>
      </c>
      <c r="AA15" s="24">
        <v>1</v>
      </c>
      <c r="AB15" s="24">
        <v>16</v>
      </c>
      <c r="AC15" s="24">
        <v>1</v>
      </c>
      <c r="AD15" s="24">
        <v>15</v>
      </c>
      <c r="AE15" s="24">
        <v>1</v>
      </c>
      <c r="AF15" s="24">
        <v>15</v>
      </c>
      <c r="AG15" s="24">
        <v>1</v>
      </c>
      <c r="AH15" s="24">
        <v>15</v>
      </c>
      <c r="AI15" s="24">
        <v>1</v>
      </c>
      <c r="AJ15" s="24">
        <v>15</v>
      </c>
    </row>
    <row r="16" spans="1:36" x14ac:dyDescent="0.25">
      <c r="B16" t="s">
        <v>13</v>
      </c>
      <c r="C16" s="13">
        <v>0</v>
      </c>
      <c r="D16" s="13">
        <v>0.1</v>
      </c>
      <c r="E16" s="13">
        <v>0.2</v>
      </c>
      <c r="F16" s="13">
        <v>0.3</v>
      </c>
      <c r="G16" s="13"/>
      <c r="H16" s="13"/>
      <c r="I16" s="14"/>
      <c r="J16" s="13"/>
      <c r="K16" s="14"/>
      <c r="L16" s="14"/>
      <c r="M16" s="14"/>
      <c r="N16" s="14"/>
      <c r="O16" s="14"/>
      <c r="P16" s="3"/>
      <c r="Q16" s="8"/>
      <c r="R16" t="s">
        <v>13</v>
      </c>
      <c r="S16" s="24">
        <v>1</v>
      </c>
      <c r="T16" s="24">
        <v>30</v>
      </c>
      <c r="U16" s="24">
        <v>1</v>
      </c>
      <c r="V16" s="24">
        <v>25</v>
      </c>
      <c r="W16" s="24">
        <v>2</v>
      </c>
      <c r="X16" s="24">
        <v>20</v>
      </c>
      <c r="Y16" s="24">
        <v>2</v>
      </c>
      <c r="Z16" s="24">
        <v>20</v>
      </c>
      <c r="AA16" s="24">
        <v>3</v>
      </c>
      <c r="AB16" s="24">
        <v>20</v>
      </c>
      <c r="AC16" s="24">
        <v>3</v>
      </c>
      <c r="AD16" s="24">
        <v>20</v>
      </c>
      <c r="AE16" s="24">
        <v>3</v>
      </c>
      <c r="AF16" s="24">
        <v>20</v>
      </c>
      <c r="AG16" s="24">
        <v>4</v>
      </c>
      <c r="AH16" s="24">
        <v>20</v>
      </c>
      <c r="AI16" s="24">
        <v>4</v>
      </c>
      <c r="AJ16" s="24">
        <v>20</v>
      </c>
    </row>
    <row r="17" spans="1:36" x14ac:dyDescent="0.25">
      <c r="A17" s="1"/>
      <c r="B17" s="4" t="s">
        <v>1</v>
      </c>
      <c r="C17" s="21">
        <f>SUM(C5:C16)</f>
        <v>37.200000000000003</v>
      </c>
      <c r="D17" s="21">
        <f t="shared" ref="D17:O17" si="0">SUM(D5:D16)</f>
        <v>38.400000000000006</v>
      </c>
      <c r="E17" s="21">
        <f t="shared" si="0"/>
        <v>39.70000000000001</v>
      </c>
      <c r="F17" s="21">
        <f t="shared" si="0"/>
        <v>41.099999999999994</v>
      </c>
      <c r="G17" s="5">
        <f t="shared" si="0"/>
        <v>0</v>
      </c>
      <c r="H17" s="5">
        <f t="shared" si="0"/>
        <v>0</v>
      </c>
      <c r="I17" s="5">
        <f t="shared" si="0"/>
        <v>0</v>
      </c>
      <c r="J17" s="5">
        <f t="shared" si="0"/>
        <v>0</v>
      </c>
      <c r="K17" s="5">
        <f t="shared" si="0"/>
        <v>0</v>
      </c>
      <c r="L17" s="5">
        <f t="shared" si="0"/>
        <v>0</v>
      </c>
      <c r="M17" s="5">
        <f t="shared" si="0"/>
        <v>0</v>
      </c>
      <c r="N17" s="5">
        <f t="shared" si="0"/>
        <v>0</v>
      </c>
      <c r="O17" s="5">
        <f t="shared" si="0"/>
        <v>0</v>
      </c>
      <c r="P17" s="3"/>
      <c r="Q17" s="8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</row>
    <row r="18" spans="1:36" x14ac:dyDescent="0.25">
      <c r="A18" s="1"/>
      <c r="C18" s="13"/>
      <c r="D18" s="13"/>
      <c r="E18" s="13"/>
      <c r="F18" s="13"/>
      <c r="G18" s="3"/>
      <c r="H18" s="3"/>
      <c r="I18" s="3"/>
      <c r="J18" s="3"/>
      <c r="K18" s="3"/>
      <c r="L18" s="3"/>
      <c r="M18" s="3"/>
      <c r="N18" s="3"/>
      <c r="O18" s="3"/>
      <c r="P18" s="3"/>
      <c r="Q18" s="8"/>
      <c r="R18" s="1" t="s">
        <v>41</v>
      </c>
    </row>
    <row r="19" spans="1:36" x14ac:dyDescent="0.25">
      <c r="B19" t="s">
        <v>6</v>
      </c>
      <c r="C19" s="13">
        <v>25</v>
      </c>
      <c r="D19" s="13">
        <v>26</v>
      </c>
      <c r="E19" s="13">
        <v>27</v>
      </c>
      <c r="F19" s="13">
        <v>28</v>
      </c>
      <c r="G19" s="13"/>
      <c r="H19" s="13"/>
      <c r="I19" s="13"/>
      <c r="J19" s="13"/>
      <c r="K19" s="14"/>
      <c r="L19" s="14"/>
      <c r="M19" s="14"/>
      <c r="N19" s="14"/>
      <c r="O19" s="14"/>
      <c r="P19" s="3"/>
      <c r="Q19" s="8"/>
      <c r="R19" t="s">
        <v>60</v>
      </c>
      <c r="S19" s="25">
        <v>46</v>
      </c>
      <c r="T19" s="24">
        <v>15</v>
      </c>
      <c r="U19" s="25">
        <v>46</v>
      </c>
      <c r="V19" s="24">
        <v>20</v>
      </c>
      <c r="W19" s="25">
        <v>42</v>
      </c>
      <c r="X19" s="24">
        <v>25</v>
      </c>
      <c r="Y19" s="25">
        <v>38</v>
      </c>
      <c r="Z19" s="28">
        <v>30</v>
      </c>
      <c r="AA19" s="25">
        <v>32</v>
      </c>
      <c r="AB19" s="24">
        <v>35</v>
      </c>
      <c r="AC19" s="25">
        <v>25</v>
      </c>
      <c r="AD19" s="24">
        <v>40</v>
      </c>
      <c r="AE19" s="25">
        <v>20</v>
      </c>
      <c r="AF19" s="24">
        <v>45</v>
      </c>
      <c r="AG19" s="25">
        <v>15</v>
      </c>
      <c r="AH19" s="24">
        <v>50</v>
      </c>
      <c r="AI19" s="25">
        <v>12</v>
      </c>
      <c r="AJ19" s="24">
        <v>55</v>
      </c>
    </row>
    <row r="20" spans="1:36" x14ac:dyDescent="0.25">
      <c r="B20" t="s">
        <v>15</v>
      </c>
      <c r="C20" s="13">
        <v>0</v>
      </c>
      <c r="D20" s="13">
        <v>0</v>
      </c>
      <c r="E20" s="13">
        <v>0.2</v>
      </c>
      <c r="F20" s="13">
        <v>0.4</v>
      </c>
      <c r="G20" s="13"/>
      <c r="H20" s="13"/>
      <c r="I20" s="13"/>
      <c r="J20" s="13"/>
      <c r="K20" s="14"/>
      <c r="L20" s="14"/>
      <c r="M20" s="14"/>
      <c r="N20" s="14"/>
      <c r="O20" s="14"/>
      <c r="P20" s="3"/>
      <c r="Q20" s="8"/>
      <c r="R20" t="s">
        <v>15</v>
      </c>
      <c r="S20" s="24">
        <v>1</v>
      </c>
      <c r="T20" s="24">
        <v>20</v>
      </c>
      <c r="U20" s="24">
        <v>1</v>
      </c>
      <c r="V20" s="24">
        <v>22</v>
      </c>
      <c r="W20" s="24">
        <v>1</v>
      </c>
      <c r="X20" s="24">
        <v>24</v>
      </c>
      <c r="Y20" s="24">
        <v>1</v>
      </c>
      <c r="Z20" s="24">
        <v>26</v>
      </c>
      <c r="AA20" s="24">
        <v>1</v>
      </c>
      <c r="AB20" s="24">
        <v>28</v>
      </c>
      <c r="AC20" s="24">
        <v>1</v>
      </c>
      <c r="AD20" s="24">
        <v>30</v>
      </c>
      <c r="AE20" s="24">
        <v>1</v>
      </c>
      <c r="AF20" s="24">
        <v>32</v>
      </c>
      <c r="AG20" s="24">
        <v>1</v>
      </c>
      <c r="AH20" s="24">
        <v>34</v>
      </c>
      <c r="AI20" s="24">
        <v>1</v>
      </c>
      <c r="AJ20" s="24">
        <v>36</v>
      </c>
    </row>
    <row r="21" spans="1:36" x14ac:dyDescent="0.25">
      <c r="B21" t="s">
        <v>24</v>
      </c>
      <c r="C21" s="13">
        <v>0</v>
      </c>
      <c r="D21" s="13">
        <v>0</v>
      </c>
      <c r="E21" s="13">
        <v>0</v>
      </c>
      <c r="F21" s="13">
        <v>0</v>
      </c>
      <c r="G21" s="13"/>
      <c r="H21" s="13"/>
      <c r="I21" s="13"/>
      <c r="J21" s="13"/>
      <c r="K21" s="14"/>
      <c r="L21" s="14"/>
      <c r="M21" s="14"/>
      <c r="N21" s="14"/>
      <c r="O21" s="14"/>
      <c r="P21" s="3"/>
      <c r="Q21" s="8"/>
      <c r="R21" t="s">
        <v>24</v>
      </c>
      <c r="S21" s="24">
        <v>0</v>
      </c>
      <c r="T21" s="24">
        <v>100</v>
      </c>
      <c r="U21" s="24">
        <v>0</v>
      </c>
      <c r="V21" s="24">
        <v>80</v>
      </c>
      <c r="W21" s="24">
        <v>1</v>
      </c>
      <c r="X21" s="24">
        <v>60</v>
      </c>
      <c r="Y21" s="24">
        <v>2</v>
      </c>
      <c r="Z21" s="24">
        <v>40</v>
      </c>
      <c r="AA21" s="24">
        <v>3</v>
      </c>
      <c r="AB21" s="24">
        <v>35</v>
      </c>
      <c r="AC21" s="24">
        <v>4</v>
      </c>
      <c r="AD21" s="24">
        <v>30</v>
      </c>
      <c r="AE21" s="24">
        <v>5</v>
      </c>
      <c r="AF21" s="24">
        <v>28</v>
      </c>
      <c r="AG21" s="24">
        <v>6</v>
      </c>
      <c r="AH21" s="24">
        <v>26</v>
      </c>
      <c r="AI21" s="24">
        <v>7</v>
      </c>
      <c r="AJ21" s="24">
        <v>24</v>
      </c>
    </row>
    <row r="22" spans="1:36" x14ac:dyDescent="0.25">
      <c r="B22" t="s">
        <v>3</v>
      </c>
      <c r="C22" s="13">
        <v>0</v>
      </c>
      <c r="D22" s="13">
        <v>0</v>
      </c>
      <c r="E22" s="13">
        <v>0</v>
      </c>
      <c r="F22" s="13">
        <v>0</v>
      </c>
      <c r="G22" s="13"/>
      <c r="H22" s="13"/>
      <c r="I22" s="13"/>
      <c r="J22" s="13"/>
      <c r="K22" s="14"/>
      <c r="L22" s="14"/>
      <c r="M22" s="14"/>
      <c r="N22" s="14"/>
      <c r="O22" s="14"/>
      <c r="P22" s="3"/>
      <c r="Q22" s="8"/>
      <c r="R22" t="s">
        <v>3</v>
      </c>
      <c r="S22" s="24">
        <v>0</v>
      </c>
      <c r="T22" s="24">
        <v>100</v>
      </c>
      <c r="U22" s="24">
        <v>1</v>
      </c>
      <c r="V22" s="24">
        <v>50</v>
      </c>
      <c r="W22" s="24">
        <v>4</v>
      </c>
      <c r="X22" s="24">
        <v>25</v>
      </c>
      <c r="Y22" s="24">
        <v>8</v>
      </c>
      <c r="Z22" s="24">
        <v>20</v>
      </c>
      <c r="AA22" s="24">
        <v>12</v>
      </c>
      <c r="AB22" s="24">
        <v>20</v>
      </c>
      <c r="AC22" s="24">
        <v>16</v>
      </c>
      <c r="AD22" s="24">
        <v>20</v>
      </c>
      <c r="AE22" s="24">
        <v>20</v>
      </c>
      <c r="AF22" s="24">
        <v>25</v>
      </c>
      <c r="AG22" s="24">
        <v>24</v>
      </c>
      <c r="AH22" s="24">
        <v>30</v>
      </c>
      <c r="AI22" s="24">
        <v>28</v>
      </c>
      <c r="AJ22" s="24">
        <v>35</v>
      </c>
    </row>
    <row r="23" spans="1:36" x14ac:dyDescent="0.25">
      <c r="B23" t="s">
        <v>16</v>
      </c>
      <c r="C23" s="13">
        <v>0</v>
      </c>
      <c r="D23" s="13">
        <v>0</v>
      </c>
      <c r="E23" s="13">
        <v>0</v>
      </c>
      <c r="F23" s="13">
        <v>0</v>
      </c>
      <c r="G23" s="13"/>
      <c r="H23" s="13"/>
      <c r="I23" s="14"/>
      <c r="J23" s="13"/>
      <c r="K23" s="14"/>
      <c r="L23" s="14"/>
      <c r="M23" s="14"/>
      <c r="N23" s="14"/>
      <c r="O23" s="14"/>
      <c r="P23" s="3"/>
      <c r="Q23" s="8"/>
      <c r="R23" t="s">
        <v>42</v>
      </c>
      <c r="S23" s="24">
        <v>0</v>
      </c>
      <c r="T23" s="24">
        <v>50</v>
      </c>
      <c r="U23" s="24">
        <v>1</v>
      </c>
      <c r="V23" s="24">
        <v>45</v>
      </c>
      <c r="W23" s="24">
        <v>4</v>
      </c>
      <c r="X23" s="24">
        <v>40</v>
      </c>
      <c r="Y23" s="24">
        <v>8</v>
      </c>
      <c r="Z23" s="24">
        <v>35</v>
      </c>
      <c r="AA23" s="24">
        <v>12</v>
      </c>
      <c r="AB23" s="24">
        <v>30</v>
      </c>
      <c r="AC23" s="24">
        <v>16</v>
      </c>
      <c r="AD23" s="24">
        <v>25</v>
      </c>
      <c r="AE23" s="24">
        <v>20</v>
      </c>
      <c r="AF23" s="24">
        <v>20</v>
      </c>
      <c r="AG23" s="24">
        <v>24</v>
      </c>
      <c r="AH23" s="24">
        <v>20</v>
      </c>
      <c r="AI23" s="24">
        <v>28</v>
      </c>
      <c r="AJ23" s="24">
        <v>20</v>
      </c>
    </row>
    <row r="24" spans="1:36" x14ac:dyDescent="0.25">
      <c r="A24" s="1"/>
      <c r="B24" s="4" t="s">
        <v>11</v>
      </c>
      <c r="C24" s="21">
        <f>SUM(C19:C23)</f>
        <v>25</v>
      </c>
      <c r="D24" s="21">
        <f t="shared" ref="D24:O24" si="1">SUM(D19:D23)</f>
        <v>26</v>
      </c>
      <c r="E24" s="21">
        <f t="shared" si="1"/>
        <v>27.2</v>
      </c>
      <c r="F24" s="21">
        <f t="shared" si="1"/>
        <v>28.4</v>
      </c>
      <c r="G24" s="5">
        <f t="shared" si="1"/>
        <v>0</v>
      </c>
      <c r="H24" s="5">
        <f t="shared" si="1"/>
        <v>0</v>
      </c>
      <c r="I24" s="5">
        <f t="shared" si="1"/>
        <v>0</v>
      </c>
      <c r="J24" s="5">
        <f t="shared" si="1"/>
        <v>0</v>
      </c>
      <c r="K24" s="5">
        <f t="shared" si="1"/>
        <v>0</v>
      </c>
      <c r="L24" s="5">
        <f t="shared" si="1"/>
        <v>0</v>
      </c>
      <c r="M24" s="5">
        <f t="shared" si="1"/>
        <v>0</v>
      </c>
      <c r="N24" s="5">
        <f t="shared" si="1"/>
        <v>0</v>
      </c>
      <c r="O24" s="5">
        <f t="shared" si="1"/>
        <v>0</v>
      </c>
      <c r="P24" s="3"/>
      <c r="Q24" s="8"/>
    </row>
    <row r="25" spans="1:36" x14ac:dyDescent="0.25">
      <c r="C25" s="13"/>
      <c r="D25" s="13"/>
      <c r="E25" s="13"/>
      <c r="F25" s="13"/>
      <c r="G25" s="3"/>
      <c r="H25" s="3"/>
      <c r="I25" s="3"/>
      <c r="J25" s="3"/>
      <c r="K25" s="3"/>
      <c r="L25" s="3"/>
      <c r="M25" s="3"/>
      <c r="N25" s="3"/>
      <c r="O25" s="3"/>
      <c r="P25" s="3"/>
      <c r="Q25" s="8"/>
      <c r="R25" s="1" t="s">
        <v>12</v>
      </c>
    </row>
    <row r="26" spans="1:36" x14ac:dyDescent="0.25">
      <c r="B26" t="s">
        <v>3</v>
      </c>
      <c r="C26" s="13">
        <v>12</v>
      </c>
      <c r="D26" s="13">
        <v>13</v>
      </c>
      <c r="E26" s="13">
        <v>14</v>
      </c>
      <c r="F26" s="13">
        <v>15</v>
      </c>
      <c r="G26" s="13"/>
      <c r="H26" s="13"/>
      <c r="I26" s="14"/>
      <c r="J26" s="13"/>
      <c r="K26" s="14"/>
      <c r="L26" s="14"/>
      <c r="M26" s="14"/>
      <c r="N26" s="14"/>
      <c r="O26" s="14"/>
      <c r="P26" s="3"/>
      <c r="Q26" s="8"/>
      <c r="R26" t="s">
        <v>43</v>
      </c>
      <c r="S26" s="26">
        <v>20</v>
      </c>
      <c r="T26" s="24">
        <v>10</v>
      </c>
      <c r="U26" s="26">
        <v>25</v>
      </c>
      <c r="V26" s="24">
        <v>10</v>
      </c>
      <c r="W26" s="26">
        <v>30</v>
      </c>
      <c r="X26" s="24">
        <v>10</v>
      </c>
      <c r="Y26" s="26">
        <v>30</v>
      </c>
      <c r="Z26" s="24">
        <v>10</v>
      </c>
      <c r="AA26" s="26">
        <v>30</v>
      </c>
      <c r="AB26" s="24">
        <v>10</v>
      </c>
      <c r="AC26" s="26">
        <v>30</v>
      </c>
      <c r="AD26" s="24">
        <v>10</v>
      </c>
      <c r="AE26" s="26">
        <v>30</v>
      </c>
      <c r="AF26" s="24">
        <v>12</v>
      </c>
      <c r="AG26" s="26">
        <v>30</v>
      </c>
      <c r="AH26" s="24">
        <v>15</v>
      </c>
      <c r="AI26" s="26">
        <v>30</v>
      </c>
      <c r="AJ26" s="24">
        <v>17</v>
      </c>
    </row>
    <row r="27" spans="1:36" x14ac:dyDescent="0.25">
      <c r="B27" t="s">
        <v>2</v>
      </c>
      <c r="C27" s="13">
        <v>2</v>
      </c>
      <c r="D27" s="13">
        <v>2</v>
      </c>
      <c r="E27" s="13">
        <v>2</v>
      </c>
      <c r="F27" s="13">
        <v>2</v>
      </c>
      <c r="G27" s="13"/>
      <c r="H27" s="14"/>
      <c r="I27" s="14"/>
      <c r="J27" s="13"/>
      <c r="K27" s="14"/>
      <c r="L27" s="14"/>
      <c r="M27" s="14"/>
      <c r="N27" s="14"/>
      <c r="O27" s="14"/>
      <c r="P27" s="3"/>
      <c r="Q27" s="8"/>
      <c r="R27" t="s">
        <v>44</v>
      </c>
      <c r="S27" s="26">
        <v>2</v>
      </c>
      <c r="T27" s="24">
        <v>8</v>
      </c>
      <c r="U27" s="26">
        <v>2</v>
      </c>
      <c r="V27" s="24">
        <v>8</v>
      </c>
      <c r="W27" s="26">
        <v>2</v>
      </c>
      <c r="X27" s="24">
        <v>8</v>
      </c>
      <c r="Y27" s="26">
        <v>2</v>
      </c>
      <c r="Z27" s="29">
        <v>8</v>
      </c>
      <c r="AA27" s="26">
        <v>2</v>
      </c>
      <c r="AB27" s="24">
        <v>8</v>
      </c>
      <c r="AC27" s="26">
        <v>2</v>
      </c>
      <c r="AD27" s="24">
        <v>8</v>
      </c>
      <c r="AE27" s="26">
        <v>2</v>
      </c>
      <c r="AF27" s="24">
        <v>8</v>
      </c>
      <c r="AG27" s="26">
        <v>2</v>
      </c>
      <c r="AH27" s="24">
        <v>8</v>
      </c>
      <c r="AI27" s="26">
        <v>2</v>
      </c>
      <c r="AJ27" s="24">
        <v>8</v>
      </c>
    </row>
    <row r="28" spans="1:36" x14ac:dyDescent="0.25">
      <c r="B28" t="s">
        <v>6</v>
      </c>
      <c r="C28" s="13">
        <v>12</v>
      </c>
      <c r="D28" s="13">
        <v>12</v>
      </c>
      <c r="E28" s="13">
        <v>12</v>
      </c>
      <c r="F28" s="13">
        <v>12</v>
      </c>
      <c r="G28" s="13"/>
      <c r="H28" s="14"/>
      <c r="I28" s="14"/>
      <c r="J28" s="13"/>
      <c r="K28" s="14"/>
      <c r="L28" s="14"/>
      <c r="M28" s="14"/>
      <c r="N28" s="14"/>
      <c r="O28" s="14"/>
      <c r="P28" s="3"/>
      <c r="Q28" s="8"/>
      <c r="R28" t="s">
        <v>61</v>
      </c>
      <c r="S28" s="25">
        <v>46</v>
      </c>
      <c r="T28" s="24">
        <v>10</v>
      </c>
      <c r="U28" s="25">
        <v>46</v>
      </c>
      <c r="V28" s="24">
        <v>13</v>
      </c>
      <c r="W28" s="25">
        <v>42</v>
      </c>
      <c r="X28" s="24">
        <v>17</v>
      </c>
      <c r="Y28" s="25">
        <v>38</v>
      </c>
      <c r="Z28" s="24">
        <v>20</v>
      </c>
      <c r="AA28" s="25">
        <v>32</v>
      </c>
      <c r="AB28" s="28">
        <v>23</v>
      </c>
      <c r="AC28" s="25">
        <v>25</v>
      </c>
      <c r="AD28" s="24">
        <v>27</v>
      </c>
      <c r="AE28" s="25">
        <v>20</v>
      </c>
      <c r="AF28" s="24">
        <v>30</v>
      </c>
      <c r="AG28" s="25">
        <v>15</v>
      </c>
      <c r="AH28" s="24">
        <v>33</v>
      </c>
      <c r="AI28" s="25">
        <v>12</v>
      </c>
      <c r="AJ28" s="24">
        <v>37</v>
      </c>
    </row>
    <row r="29" spans="1:36" x14ac:dyDescent="0.25">
      <c r="B29" t="s">
        <v>10</v>
      </c>
      <c r="C29" s="13">
        <v>1</v>
      </c>
      <c r="D29" s="13">
        <v>1.3</v>
      </c>
      <c r="E29" s="13">
        <v>1.6</v>
      </c>
      <c r="F29" s="13">
        <v>2</v>
      </c>
      <c r="G29" s="13"/>
      <c r="H29" s="14"/>
      <c r="I29" s="14"/>
      <c r="J29" s="13"/>
      <c r="K29" s="14"/>
      <c r="L29" s="14"/>
      <c r="M29" s="14"/>
      <c r="N29" s="14"/>
      <c r="O29" s="14"/>
      <c r="P29" s="3"/>
      <c r="Q29" s="8"/>
      <c r="R29" t="s">
        <v>10</v>
      </c>
      <c r="S29" s="24">
        <v>1</v>
      </c>
      <c r="T29" s="24">
        <v>12</v>
      </c>
      <c r="U29" s="24">
        <v>1</v>
      </c>
      <c r="V29" s="24">
        <v>12</v>
      </c>
      <c r="W29" s="24">
        <v>1</v>
      </c>
      <c r="X29" s="24">
        <v>12</v>
      </c>
      <c r="Y29" s="24">
        <v>1</v>
      </c>
      <c r="Z29" s="24">
        <v>12</v>
      </c>
      <c r="AA29" s="24">
        <v>1</v>
      </c>
      <c r="AB29" s="24">
        <v>12</v>
      </c>
      <c r="AC29" s="24">
        <v>1</v>
      </c>
      <c r="AD29" s="24">
        <v>12</v>
      </c>
      <c r="AE29" s="24">
        <v>1</v>
      </c>
      <c r="AF29" s="24">
        <v>12</v>
      </c>
      <c r="AG29" s="24">
        <v>1</v>
      </c>
      <c r="AH29" s="24">
        <v>12</v>
      </c>
      <c r="AI29" s="24">
        <v>1</v>
      </c>
      <c r="AJ29" s="24">
        <v>12</v>
      </c>
    </row>
    <row r="30" spans="1:36" x14ac:dyDescent="0.25">
      <c r="B30" t="s">
        <v>8</v>
      </c>
      <c r="C30" s="13">
        <v>0</v>
      </c>
      <c r="D30" s="13">
        <v>0</v>
      </c>
      <c r="E30" s="13">
        <v>0.1</v>
      </c>
      <c r="F30" s="13">
        <v>0.1</v>
      </c>
      <c r="G30" s="13"/>
      <c r="H30" s="14"/>
      <c r="I30" s="14"/>
      <c r="J30" s="13"/>
      <c r="K30" s="14"/>
      <c r="L30" s="14"/>
      <c r="M30" s="14"/>
      <c r="N30" s="14"/>
      <c r="O30" s="14"/>
      <c r="P30" s="3"/>
      <c r="Q30" s="8"/>
      <c r="R30" t="s">
        <v>8</v>
      </c>
      <c r="S30" s="24">
        <v>0</v>
      </c>
      <c r="T30" s="24">
        <v>50</v>
      </c>
      <c r="U30" s="24">
        <v>1</v>
      </c>
      <c r="V30" s="24">
        <v>40</v>
      </c>
      <c r="W30" s="24">
        <v>2</v>
      </c>
      <c r="X30" s="24">
        <v>30</v>
      </c>
      <c r="Y30" s="24">
        <v>3</v>
      </c>
      <c r="Z30" s="24">
        <v>20</v>
      </c>
      <c r="AA30" s="24">
        <v>4</v>
      </c>
      <c r="AB30" s="24">
        <v>15</v>
      </c>
      <c r="AC30" s="24">
        <v>5</v>
      </c>
      <c r="AD30" s="24">
        <v>12</v>
      </c>
      <c r="AE30" s="24">
        <v>6</v>
      </c>
      <c r="AF30" s="24">
        <v>10</v>
      </c>
      <c r="AG30" s="24">
        <v>10</v>
      </c>
      <c r="AH30" s="24">
        <v>10</v>
      </c>
      <c r="AI30" s="24">
        <v>12</v>
      </c>
      <c r="AJ30" s="24">
        <v>10</v>
      </c>
    </row>
    <row r="31" spans="1:36" x14ac:dyDescent="0.25">
      <c r="B31" t="s">
        <v>13</v>
      </c>
      <c r="C31" s="13">
        <v>0</v>
      </c>
      <c r="D31" s="13">
        <v>0</v>
      </c>
      <c r="E31" s="13">
        <v>0</v>
      </c>
      <c r="F31" s="13">
        <v>0</v>
      </c>
      <c r="G31" s="13"/>
      <c r="H31" s="14"/>
      <c r="I31" s="13"/>
      <c r="J31" s="13"/>
      <c r="K31" s="14"/>
      <c r="L31" s="14"/>
      <c r="M31" s="14"/>
      <c r="N31" s="14"/>
      <c r="O31" s="14"/>
      <c r="P31" s="3"/>
      <c r="Q31" s="8"/>
      <c r="R31" t="s">
        <v>13</v>
      </c>
      <c r="S31" s="24">
        <v>0</v>
      </c>
      <c r="T31" s="24">
        <v>30</v>
      </c>
      <c r="U31" s="24">
        <v>1</v>
      </c>
      <c r="V31" s="24">
        <v>25</v>
      </c>
      <c r="W31" s="24">
        <v>2</v>
      </c>
      <c r="X31" s="24">
        <v>20</v>
      </c>
      <c r="Y31" s="24">
        <v>4</v>
      </c>
      <c r="Z31" s="24">
        <v>15</v>
      </c>
      <c r="AA31" s="24">
        <v>6</v>
      </c>
      <c r="AB31" s="24">
        <v>14</v>
      </c>
      <c r="AC31" s="24">
        <v>8</v>
      </c>
      <c r="AD31" s="24">
        <v>13</v>
      </c>
      <c r="AE31" s="24">
        <v>10</v>
      </c>
      <c r="AF31" s="24">
        <v>12</v>
      </c>
      <c r="AG31" s="24">
        <v>12</v>
      </c>
      <c r="AH31" s="24">
        <v>11</v>
      </c>
      <c r="AI31" s="24">
        <v>14</v>
      </c>
      <c r="AJ31" s="24">
        <v>10</v>
      </c>
    </row>
    <row r="32" spans="1:36" ht="14.45" x14ac:dyDescent="0.3">
      <c r="A32" s="1"/>
      <c r="B32" s="4" t="s">
        <v>12</v>
      </c>
      <c r="C32" s="22">
        <f>SUM(C26:C31)</f>
        <v>27</v>
      </c>
      <c r="D32" s="22">
        <f t="shared" ref="D32:O32" si="2">SUM(D26:D31)</f>
        <v>28.3</v>
      </c>
      <c r="E32" s="22">
        <f t="shared" si="2"/>
        <v>29.700000000000003</v>
      </c>
      <c r="F32" s="22">
        <f t="shared" si="2"/>
        <v>31.1</v>
      </c>
      <c r="G32" s="5">
        <f t="shared" si="2"/>
        <v>0</v>
      </c>
      <c r="H32" s="5">
        <f t="shared" si="2"/>
        <v>0</v>
      </c>
      <c r="I32" s="5">
        <f t="shared" si="2"/>
        <v>0</v>
      </c>
      <c r="J32" s="5">
        <f t="shared" si="2"/>
        <v>0</v>
      </c>
      <c r="K32" s="5">
        <f t="shared" si="2"/>
        <v>0</v>
      </c>
      <c r="L32" s="5">
        <f t="shared" si="2"/>
        <v>0</v>
      </c>
      <c r="M32" s="5">
        <f t="shared" si="2"/>
        <v>0</v>
      </c>
      <c r="N32" s="5">
        <f t="shared" si="2"/>
        <v>0</v>
      </c>
      <c r="O32" s="5">
        <f t="shared" si="2"/>
        <v>0</v>
      </c>
      <c r="P32" s="3"/>
      <c r="Q32" s="8"/>
      <c r="R32" t="s">
        <v>53</v>
      </c>
      <c r="S32" t="s">
        <v>54</v>
      </c>
      <c r="X32" s="1"/>
    </row>
    <row r="33" spans="1:17" ht="14.45" x14ac:dyDescent="0.3">
      <c r="A33" s="1"/>
      <c r="B33" s="12" t="s">
        <v>50</v>
      </c>
      <c r="C33" s="15"/>
      <c r="D33" s="15"/>
      <c r="E33" s="15"/>
      <c r="F33" s="15"/>
      <c r="G33" s="15"/>
      <c r="H33" s="16"/>
      <c r="I33" s="16"/>
      <c r="J33" s="16"/>
      <c r="K33" s="16"/>
      <c r="L33" s="16"/>
      <c r="M33" s="16"/>
      <c r="N33" s="16"/>
      <c r="O33" s="16"/>
      <c r="P33" s="3"/>
      <c r="Q33" s="8"/>
    </row>
    <row r="34" spans="1:17" ht="14.45" x14ac:dyDescent="0.3">
      <c r="A34" s="1"/>
      <c r="B34" s="4" t="s">
        <v>14</v>
      </c>
      <c r="C34" s="22">
        <f t="shared" ref="C34:O34" si="3">C17+C24+C32-C23</f>
        <v>89.2</v>
      </c>
      <c r="D34" s="22">
        <f t="shared" si="3"/>
        <v>92.7</v>
      </c>
      <c r="E34" s="22">
        <f t="shared" si="3"/>
        <v>96.600000000000009</v>
      </c>
      <c r="F34" s="22">
        <f t="shared" si="3"/>
        <v>100.6</v>
      </c>
      <c r="G34" s="6">
        <f t="shared" si="3"/>
        <v>0</v>
      </c>
      <c r="H34" s="6">
        <f t="shared" si="3"/>
        <v>0</v>
      </c>
      <c r="I34" s="6">
        <f t="shared" si="3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3"/>
        <v>0</v>
      </c>
      <c r="O34" s="6">
        <f t="shared" si="3"/>
        <v>0</v>
      </c>
      <c r="P34" s="3"/>
      <c r="Q34" s="9"/>
    </row>
    <row r="35" spans="1:17" ht="32.25" customHeight="1" x14ac:dyDescent="0.3">
      <c r="A35" s="2"/>
      <c r="B35" s="7" t="s">
        <v>18</v>
      </c>
      <c r="C35" s="22">
        <f xml:space="preserve"> 53*(C6+C22+C26)+94*(C5+C27)+64*(C10+C15+C19+C20+C21+C28+C29)</f>
        <v>5518.8</v>
      </c>
      <c r="D35" s="22">
        <f t="shared" ref="D35:O35" si="4" xml:space="preserve"> 53*(D6+D22+D26)+94*(D5+D27)+64*(D10+D15+D19+D20+D21+D28+D29)</f>
        <v>5714.4</v>
      </c>
      <c r="E35" s="22">
        <f t="shared" si="4"/>
        <v>5922.7999999999993</v>
      </c>
      <c r="F35" s="22">
        <f t="shared" si="4"/>
        <v>6137.6</v>
      </c>
      <c r="G35" s="6">
        <f t="shared" si="4"/>
        <v>0</v>
      </c>
      <c r="H35" s="6">
        <f t="shared" si="4"/>
        <v>0</v>
      </c>
      <c r="I35" s="6">
        <f t="shared" si="4"/>
        <v>0</v>
      </c>
      <c r="J35" s="6">
        <f t="shared" si="4"/>
        <v>0</v>
      </c>
      <c r="K35" s="6">
        <f t="shared" si="4"/>
        <v>0</v>
      </c>
      <c r="L35" s="6">
        <f t="shared" si="4"/>
        <v>0</v>
      </c>
      <c r="M35" s="6">
        <f t="shared" si="4"/>
        <v>0</v>
      </c>
      <c r="N35" s="6">
        <f t="shared" si="4"/>
        <v>0</v>
      </c>
      <c r="O35" s="6">
        <f t="shared" si="4"/>
        <v>0</v>
      </c>
      <c r="P35" s="3"/>
      <c r="Q35" s="9"/>
    </row>
    <row r="36" spans="1:17" ht="14.45" x14ac:dyDescent="0.3">
      <c r="B36" s="6" t="s">
        <v>17</v>
      </c>
      <c r="C36" s="22">
        <f>C6+C22+C26</f>
        <v>16</v>
      </c>
      <c r="D36" s="22">
        <f t="shared" ref="D36:O36" si="5">D6+D22+D26</f>
        <v>18</v>
      </c>
      <c r="E36" s="22">
        <f t="shared" si="5"/>
        <v>20</v>
      </c>
      <c r="F36" s="22">
        <f t="shared" si="5"/>
        <v>22</v>
      </c>
      <c r="G36" s="6">
        <f t="shared" si="5"/>
        <v>0</v>
      </c>
      <c r="H36" s="6">
        <f t="shared" si="5"/>
        <v>0</v>
      </c>
      <c r="I36" s="6">
        <f t="shared" si="5"/>
        <v>0</v>
      </c>
      <c r="J36" s="6">
        <f t="shared" si="5"/>
        <v>0</v>
      </c>
      <c r="K36" s="6">
        <f t="shared" si="5"/>
        <v>0</v>
      </c>
      <c r="L36" s="6">
        <f t="shared" si="5"/>
        <v>0</v>
      </c>
      <c r="M36" s="6">
        <f t="shared" si="5"/>
        <v>0</v>
      </c>
      <c r="N36" s="6">
        <f t="shared" si="5"/>
        <v>0</v>
      </c>
      <c r="O36" s="6">
        <f t="shared" si="5"/>
        <v>0</v>
      </c>
      <c r="P36" s="3"/>
      <c r="Q36" s="9"/>
    </row>
    <row r="37" spans="1:17" ht="14.45" x14ac:dyDescent="0.3">
      <c r="B37" s="6" t="s">
        <v>19</v>
      </c>
      <c r="C37" s="22">
        <f>C5+C12+C27</f>
        <v>23</v>
      </c>
      <c r="D37" s="22">
        <f t="shared" ref="D37:O37" si="6">D5+D12+D27</f>
        <v>23</v>
      </c>
      <c r="E37" s="22">
        <f t="shared" si="6"/>
        <v>23</v>
      </c>
      <c r="F37" s="22">
        <f t="shared" si="6"/>
        <v>23</v>
      </c>
      <c r="G37" s="6">
        <f t="shared" si="6"/>
        <v>0</v>
      </c>
      <c r="H37" s="6">
        <f t="shared" si="6"/>
        <v>0</v>
      </c>
      <c r="I37" s="6">
        <f t="shared" si="6"/>
        <v>0</v>
      </c>
      <c r="J37" s="6">
        <f t="shared" si="6"/>
        <v>0</v>
      </c>
      <c r="K37" s="6">
        <f t="shared" si="6"/>
        <v>0</v>
      </c>
      <c r="L37" s="6">
        <f t="shared" si="6"/>
        <v>0</v>
      </c>
      <c r="M37" s="6">
        <f t="shared" si="6"/>
        <v>0</v>
      </c>
      <c r="N37" s="6">
        <f t="shared" si="6"/>
        <v>0</v>
      </c>
      <c r="O37" s="6">
        <f t="shared" si="6"/>
        <v>0</v>
      </c>
      <c r="P37" s="3"/>
      <c r="Q37" s="9"/>
    </row>
    <row r="38" spans="1:17" ht="14.45" x14ac:dyDescent="0.3">
      <c r="B38" s="6" t="s">
        <v>20</v>
      </c>
      <c r="C38" s="22">
        <f>C10+C19+C28</f>
        <v>37.700000000000003</v>
      </c>
      <c r="D38" s="22">
        <f t="shared" ref="D38:O38" si="7">D10+D19+D28</f>
        <v>38.700000000000003</v>
      </c>
      <c r="E38" s="22">
        <f t="shared" si="7"/>
        <v>39.700000000000003</v>
      </c>
      <c r="F38" s="22">
        <f t="shared" si="7"/>
        <v>40.700000000000003</v>
      </c>
      <c r="G38" s="5">
        <f t="shared" si="7"/>
        <v>0</v>
      </c>
      <c r="H38" s="5">
        <f t="shared" si="7"/>
        <v>0</v>
      </c>
      <c r="I38" s="5">
        <f t="shared" si="7"/>
        <v>0</v>
      </c>
      <c r="J38" s="5">
        <f t="shared" si="7"/>
        <v>0</v>
      </c>
      <c r="K38" s="5">
        <f t="shared" si="7"/>
        <v>0</v>
      </c>
      <c r="L38" s="5">
        <f t="shared" si="7"/>
        <v>0</v>
      </c>
      <c r="M38" s="5">
        <f t="shared" si="7"/>
        <v>0</v>
      </c>
      <c r="N38" s="5">
        <f t="shared" si="7"/>
        <v>0</v>
      </c>
      <c r="O38" s="5">
        <f t="shared" si="7"/>
        <v>0</v>
      </c>
      <c r="P38" s="3"/>
      <c r="Q38" s="9"/>
    </row>
    <row r="39" spans="1:17" x14ac:dyDescent="0.25">
      <c r="B39" s="6" t="s">
        <v>21</v>
      </c>
      <c r="C39" s="22">
        <f>C36+C37+C38</f>
        <v>76.7</v>
      </c>
      <c r="D39" s="22">
        <f t="shared" ref="D39:O39" si="8">D36+D37+D38</f>
        <v>79.7</v>
      </c>
      <c r="E39" s="22">
        <f t="shared" si="8"/>
        <v>82.7</v>
      </c>
      <c r="F39" s="22">
        <f t="shared" si="8"/>
        <v>85.7</v>
      </c>
      <c r="G39" s="6">
        <f t="shared" si="8"/>
        <v>0</v>
      </c>
      <c r="H39" s="6">
        <f t="shared" si="8"/>
        <v>0</v>
      </c>
      <c r="I39" s="6">
        <f t="shared" si="8"/>
        <v>0</v>
      </c>
      <c r="J39" s="6">
        <f t="shared" si="8"/>
        <v>0</v>
      </c>
      <c r="K39" s="6">
        <f t="shared" si="8"/>
        <v>0</v>
      </c>
      <c r="L39" s="6">
        <f t="shared" si="8"/>
        <v>0</v>
      </c>
      <c r="M39" s="6">
        <f t="shared" si="8"/>
        <v>0</v>
      </c>
      <c r="N39" s="6">
        <f t="shared" si="8"/>
        <v>0</v>
      </c>
      <c r="O39" s="6">
        <f t="shared" si="8"/>
        <v>0</v>
      </c>
      <c r="P39" s="3"/>
      <c r="Q39" s="9"/>
    </row>
    <row r="40" spans="1:17" x14ac:dyDescent="0.25">
      <c r="B40" t="s">
        <v>25</v>
      </c>
      <c r="C40" s="18"/>
      <c r="D40" s="18"/>
      <c r="E40" s="18"/>
      <c r="F40" s="18"/>
      <c r="Q40" s="9"/>
    </row>
    <row r="41" spans="1:17" x14ac:dyDescent="0.25">
      <c r="C41" s="18"/>
      <c r="D41" s="18"/>
      <c r="E41" s="18"/>
      <c r="F41" s="18"/>
      <c r="Q41" s="9"/>
    </row>
    <row r="42" spans="1:17" x14ac:dyDescent="0.25">
      <c r="B42" s="11" t="s">
        <v>63</v>
      </c>
      <c r="C42" s="20"/>
      <c r="D42" s="20"/>
      <c r="E42" s="20"/>
      <c r="F42" s="20"/>
      <c r="G42" s="11">
        <v>25</v>
      </c>
      <c r="H42" s="11">
        <v>25</v>
      </c>
      <c r="I42" s="11">
        <v>25</v>
      </c>
      <c r="J42" s="11">
        <v>25</v>
      </c>
      <c r="K42" s="11">
        <v>25</v>
      </c>
      <c r="L42" s="11">
        <v>25</v>
      </c>
      <c r="M42" s="11">
        <v>25</v>
      </c>
      <c r="N42" s="11">
        <v>25</v>
      </c>
      <c r="O42" s="11">
        <v>25</v>
      </c>
      <c r="Q42" s="9"/>
    </row>
    <row r="43" spans="1:17" ht="13.5" customHeight="1" x14ac:dyDescent="0.25">
      <c r="B43" s="11" t="s">
        <v>52</v>
      </c>
      <c r="C43" s="20"/>
      <c r="D43" s="20"/>
      <c r="E43" s="20"/>
      <c r="F43" s="20"/>
      <c r="G43" s="11">
        <v>25</v>
      </c>
      <c r="H43" s="11">
        <v>25</v>
      </c>
      <c r="I43" s="11">
        <v>25</v>
      </c>
      <c r="J43" s="11">
        <v>25</v>
      </c>
      <c r="K43" s="11">
        <v>25</v>
      </c>
      <c r="L43" s="11">
        <v>25</v>
      </c>
      <c r="M43" s="11">
        <v>25</v>
      </c>
      <c r="N43" s="11">
        <v>25</v>
      </c>
      <c r="O43" s="11">
        <v>25</v>
      </c>
      <c r="Q43" s="9"/>
    </row>
    <row r="44" spans="1:17" x14ac:dyDescent="0.25">
      <c r="B44" s="11" t="s">
        <v>55</v>
      </c>
      <c r="C44" s="20"/>
      <c r="D44" s="20"/>
      <c r="E44" s="20"/>
      <c r="F44" s="20"/>
      <c r="G44" s="11">
        <f t="shared" ref="G44:O44" si="9">0.45*G45 + G23</f>
        <v>45</v>
      </c>
      <c r="H44" s="11">
        <f t="shared" si="9"/>
        <v>45</v>
      </c>
      <c r="I44" s="11">
        <f t="shared" si="9"/>
        <v>45</v>
      </c>
      <c r="J44" s="11">
        <f t="shared" si="9"/>
        <v>45</v>
      </c>
      <c r="K44" s="11">
        <f t="shared" si="9"/>
        <v>45</v>
      </c>
      <c r="L44" s="11">
        <f t="shared" si="9"/>
        <v>45</v>
      </c>
      <c r="M44" s="11">
        <f t="shared" si="9"/>
        <v>45</v>
      </c>
      <c r="N44" s="11">
        <f t="shared" si="9"/>
        <v>45</v>
      </c>
      <c r="O44" s="11">
        <f t="shared" si="9"/>
        <v>45</v>
      </c>
      <c r="Q44" s="9"/>
    </row>
    <row r="45" spans="1:17" x14ac:dyDescent="0.25">
      <c r="B45" s="11" t="s">
        <v>56</v>
      </c>
      <c r="C45" s="20"/>
      <c r="D45" s="20"/>
      <c r="E45" s="20"/>
      <c r="F45" s="20"/>
      <c r="G45" s="11">
        <f>IF($H$1="Very easy",Sheet2!B5,IF($H$1 = "Easy",Sheet2!B6,IF($H$1="Medium",Sheet2!B7,IF($H$1="Hard",Sheet2!B8,Sheet2!B9))))-G33</f>
        <v>100</v>
      </c>
      <c r="H45" s="11">
        <f>IF($H$1="Very easy",Sheet2!C5,IF($H$1 = "Easy",Sheet2!C6,IF($H$1="Medium",Sheet2!C7,IF($H$1="Hard",Sheet2!C8,Sheet2!C9))))-H33</f>
        <v>100</v>
      </c>
      <c r="I45" s="11">
        <f>IF($H$1="Very easy",Sheet2!D5,IF($H$1 = "Easy",Sheet2!D6,IF($H$1="Medium",Sheet2!D7,IF($H$1="Hard",Sheet2!D8,Sheet2!D9))))-I33</f>
        <v>100</v>
      </c>
      <c r="J45" s="11">
        <f>IF($H$1="Very easy",Sheet2!E5,IF($H$1 = "Easy",Sheet2!E6,IF($H$1="Medium",Sheet2!E7,IF($H$1="Hard",Sheet2!E8,Sheet2!E9))))-J33</f>
        <v>100</v>
      </c>
      <c r="K45" s="11">
        <f>IF($H$1="Very easy",Sheet2!F5,IF($H$1 = "Easy",Sheet2!F6,IF($H$1="Medium",Sheet2!F7,IF($H$1="Hard",Sheet2!F8,Sheet2!F9))))-K33</f>
        <v>100</v>
      </c>
      <c r="L45" s="11">
        <f>IF($H$1="Very easy",Sheet2!G5,IF($H$1 = "Easy",Sheet2!G6,IF($H$1="Medium",Sheet2!G7,IF($H$1="Hard",Sheet2!G8,Sheet2!G9))))-L33</f>
        <v>100</v>
      </c>
      <c r="M45" s="11">
        <f>IF($H$1="Very easy",Sheet2!H5,IF($H$1 = "Easy",Sheet2!H6,IF($H$1="Medium",Sheet2!H7,IF($H$1="Hard",Sheet2!H8,Sheet2!H9))))-M33</f>
        <v>100</v>
      </c>
      <c r="N45" s="11">
        <f>IF($H$1="Very easy",Sheet2!I5,IF($H$1 = "Easy",Sheet2!I6,IF($H$1="Medium",Sheet2!I7,IF($H$1="Hard",Sheet2!I8,Sheet2!I9))))-N33</f>
        <v>100</v>
      </c>
      <c r="O45" s="11">
        <f>IF($H$1="Very easy",Sheet2!J5,IF($H$1 = "Easy",Sheet2!J6,IF($H$1="Medium",Sheet2!J7,IF($H$1="Hard",Sheet2!J8,Sheet2!J9))))-O33</f>
        <v>100</v>
      </c>
      <c r="Q45" s="9"/>
    </row>
    <row r="46" spans="1:17" x14ac:dyDescent="0.25">
      <c r="B46" s="11" t="s">
        <v>57</v>
      </c>
      <c r="C46" s="20"/>
      <c r="D46" s="20"/>
      <c r="E46" s="20"/>
      <c r="F46" s="20"/>
      <c r="G46" s="11">
        <f>IF($H$1="Very easy",Sheet2!B11,IF($H$1 = "Easy",Sheet2!B12,IF($H$1="Medium",Sheet2!B13,IF($H$1="Hard",Sheet2!B14,Sheet2!B15))))</f>
        <v>2000</v>
      </c>
      <c r="H46" s="11">
        <f>IF($H$1="Very easy",Sheet2!C11,IF($H$1 = "Easy",Sheet2!C12,IF($H$1="Medium",Sheet2!C13,IF($H$1="Hard",Sheet2!C14,Sheet2!C15))))</f>
        <v>2100</v>
      </c>
      <c r="I46" s="11">
        <f>IF($H$1="Very easy",Sheet2!D11,IF($H$1 = "Easy",Sheet2!D12,IF($H$1="Medium",Sheet2!D13,IF($H$1="Hard",Sheet2!D14,Sheet2!D15))))</f>
        <v>2200</v>
      </c>
      <c r="J46" s="11">
        <f>IF($H$1="Very easy",Sheet2!E11,IF($H$1 = "Easy",Sheet2!E12,IF($H$1="Medium",Sheet2!E13,IF($H$1="Hard",Sheet2!E14,Sheet2!E15))))</f>
        <v>2400</v>
      </c>
      <c r="K46" s="11">
        <f>IF($H$1="Very easy",Sheet2!F11,IF($H$1 = "Easy",Sheet2!F12,IF($H$1="Medium",Sheet2!F13,IF($H$1="Hard",Sheet2!F14,Sheet2!F15))))</f>
        <v>2600</v>
      </c>
      <c r="L46" s="11">
        <f>IF($H$1="Very easy",Sheet2!G11,IF($H$1 = "Easy",Sheet2!G12,IF($H$1="Medium",Sheet2!G13,IF($H$1="Hard",Sheet2!G14,Sheet2!G15))))</f>
        <v>2700</v>
      </c>
      <c r="M46" s="11">
        <f>IF($H$1="Very easy",Sheet2!H11,IF($H$1 = "Easy",Sheet2!H12,IF($H$1="Medium",Sheet2!H13,IF($H$1="Hard",Sheet2!H14,Sheet2!H15))))</f>
        <v>2800</v>
      </c>
      <c r="N46" s="11">
        <f>IF($H$1="Very easy",Sheet2!I11,IF($H$1 = "Easy",Sheet2!I12,IF($H$1="Medium",Sheet2!I13,IF($H$1="Hard",Sheet2!I14,Sheet2!I15))))</f>
        <v>3000</v>
      </c>
      <c r="O46" s="11">
        <f>IF($H$1="Very easy",Sheet2!J11,IF($H$1 = "Easy",Sheet2!J12,IF($H$1="Medium",Sheet2!J13,IF($H$1="Hard",Sheet2!J14,Sheet2!J15))))</f>
        <v>3200</v>
      </c>
      <c r="Q46" s="9"/>
    </row>
    <row r="47" spans="1:17" x14ac:dyDescent="0.25">
      <c r="B47" s="11" t="s">
        <v>58</v>
      </c>
      <c r="C47" s="20"/>
      <c r="D47" s="20"/>
      <c r="E47" s="20"/>
      <c r="F47" s="20"/>
      <c r="G47" s="11">
        <f>IF($H$1="Very easy",Sheet2!B17,IF($H$1 = "Easy",Sheet2!B18,IF($H$1="Medium",Sheet2!B19,IF($H$1="Hard",Sheet2!B20,Sheet2!B21))))</f>
        <v>46</v>
      </c>
      <c r="H47" s="11">
        <f>IF($H$1="Very easy",Sheet2!C17,IF($H$1 = "Easy",Sheet2!C18,IF($H$1="Medium",Sheet2!C19,IF($H$1="Hard",Sheet2!C20,Sheet2!C21))))</f>
        <v>46</v>
      </c>
      <c r="I47" s="11">
        <f>IF($H$1="Very easy",Sheet2!D17,IF($H$1 = "Easy",Sheet2!D18,IF($H$1="Medium",Sheet2!D19,IF($H$1="Hard",Sheet2!D20,Sheet2!D21))))</f>
        <v>42</v>
      </c>
      <c r="J47" s="11">
        <f>IF($H$1="Very easy",Sheet2!E17,IF($H$1 = "Easy",Sheet2!E18,IF($H$1="Medium",Sheet2!E19,IF($H$1="Hard",Sheet2!E20,Sheet2!E21))))</f>
        <v>38</v>
      </c>
      <c r="K47" s="11">
        <f>IF($H$1="Very easy",Sheet2!F17,IF($H$1 = "Easy",Sheet2!F18,IF($H$1="Medium",Sheet2!F19,IF($H$1="Hard",Sheet2!F20,Sheet2!F21))))</f>
        <v>32</v>
      </c>
      <c r="L47" s="11">
        <f>IF($H$1="Very easy",Sheet2!G17,IF($H$1 = "Easy",Sheet2!G18,IF($H$1="Medium",Sheet2!G19,IF($H$1="Hard",Sheet2!G20,Sheet2!G21))))</f>
        <v>25</v>
      </c>
      <c r="M47" s="11">
        <f>IF($H$1="Very easy",Sheet2!H17,IF($H$1 = "Easy",Sheet2!H18,IF($H$1="Medium",Sheet2!H19,IF($H$1="Hard",Sheet2!H20,Sheet2!H21))))</f>
        <v>20</v>
      </c>
      <c r="N47" s="11">
        <f>IF($H$1="Very easy",Sheet2!I17,IF($H$1 = "Easy",Sheet2!I18,IF($H$1="Medium",Sheet2!I19,IF($H$1="Hard",Sheet2!I20,Sheet2!I21))))</f>
        <v>15</v>
      </c>
      <c r="O47" s="11">
        <f>IF($H$1="Very easy",Sheet2!J17,IF($H$1 = "Easy",Sheet2!J18,IF($H$1="Medium",Sheet2!J19,IF($H$1="Hard",Sheet2!J20,Sheet2!J21))))</f>
        <v>12</v>
      </c>
      <c r="Q47" s="9"/>
    </row>
    <row r="48" spans="1:17" x14ac:dyDescent="0.25">
      <c r="B48" s="11" t="s">
        <v>59</v>
      </c>
      <c r="C48" s="20"/>
      <c r="D48" s="20"/>
      <c r="E48" s="20"/>
      <c r="F48" s="20"/>
      <c r="G48" s="11">
        <f>IF($H$1="Very easy",Sheet2!B23,IF($H$1 = "Easy",Sheet2!B24,IF($H$1="Medium",Sheet2!B25,IF($H$1="Hard",Sheet2!B26,Sheet2!B27))))</f>
        <v>6.5</v>
      </c>
      <c r="H48" s="11">
        <f>IF($H$1="Very easy",Sheet2!C23,IF($H$1 = "Easy",Sheet2!C24,IF($H$1="Medium",Sheet2!C25,IF($H$1="Hard",Sheet2!C26,Sheet2!C27))))</f>
        <v>6.4</v>
      </c>
      <c r="I48" s="11">
        <f>IF($H$1="Very easy",Sheet2!D23,IF($H$1 = "Easy",Sheet2!D24,IF($H$1="Medium",Sheet2!D25,IF($H$1="Hard",Sheet2!D26,Sheet2!D27))))</f>
        <v>6.3</v>
      </c>
      <c r="J48" s="11">
        <f>IF($H$1="Very easy",Sheet2!E23,IF($H$1 = "Easy",Sheet2!E24,IF($H$1="Medium",Sheet2!E25,IF($H$1="Hard",Sheet2!E26,Sheet2!E27))))</f>
        <v>6.1</v>
      </c>
      <c r="K48" s="11">
        <f>IF($H$1="Very easy",Sheet2!F23,IF($H$1 = "Easy",Sheet2!F24,IF($H$1="Medium",Sheet2!F25,IF($H$1="Hard",Sheet2!F26,Sheet2!F27))))</f>
        <v>5.8</v>
      </c>
      <c r="L48" s="11">
        <f>IF($H$1="Very easy",Sheet2!G23,IF($H$1 = "Easy",Sheet2!G24,IF($H$1="Medium",Sheet2!G25,IF($H$1="Hard",Sheet2!G26,Sheet2!G27))))</f>
        <v>5.3</v>
      </c>
      <c r="M48" s="11">
        <f>IF($H$1="Very easy",Sheet2!H23,IF($H$1 = "Easy",Sheet2!H24,IF($H$1="Medium",Sheet2!H25,IF($H$1="Hard",Sheet2!H26,Sheet2!H27))))</f>
        <v>4.8</v>
      </c>
      <c r="N48" s="11">
        <f>IF($H$1="Very easy",Sheet2!I23,IF($H$1 = "Easy",Sheet2!I24,IF($H$1="Medium",Sheet2!I25,IF($H$1="Hard",Sheet2!I26,Sheet2!I27))))</f>
        <v>4.3</v>
      </c>
      <c r="O48" s="11">
        <f>IF($H$1="Very easy",Sheet2!J23,IF($H$1 = "Easy",Sheet2!J24,IF($H$1="Medium",Sheet2!J25,IF($H$1="Hard",Sheet2!J26,Sheet2!J27))))</f>
        <v>3.5</v>
      </c>
      <c r="Q48" s="9"/>
    </row>
    <row r="49" spans="2:17" x14ac:dyDescent="0.25">
      <c r="B49" s="10"/>
      <c r="C49" s="17"/>
      <c r="D49" s="17"/>
      <c r="E49" s="17"/>
      <c r="F49" s="17"/>
      <c r="G49" s="10"/>
      <c r="H49" s="10"/>
      <c r="I49" s="10"/>
      <c r="J49" s="10"/>
      <c r="K49" s="10"/>
      <c r="L49" s="10"/>
      <c r="M49" s="10"/>
      <c r="N49" s="10"/>
      <c r="O49" s="10"/>
      <c r="Q49" s="9"/>
    </row>
    <row r="50" spans="2:17" x14ac:dyDescent="0.25">
      <c r="B50" s="6" t="s">
        <v>45</v>
      </c>
      <c r="C50" s="19"/>
      <c r="D50" s="19"/>
      <c r="E50" s="19"/>
      <c r="F50" s="19"/>
      <c r="G50" s="6">
        <f>SUMPRODUCT(G5:G16,T5:T16)</f>
        <v>0</v>
      </c>
      <c r="H50" s="6">
        <f>SUMPRODUCT(H5:H16,V5:V16)</f>
        <v>0</v>
      </c>
      <c r="I50" s="6">
        <f>SUMPRODUCT(I5:I16,X5:X16)</f>
        <v>0</v>
      </c>
      <c r="J50" s="6">
        <f>SUMPRODUCT(J5:J16,Z5:Z16)</f>
        <v>0</v>
      </c>
      <c r="K50" s="6">
        <f>SUMPRODUCT(K5:K16,AB5:AB16)</f>
        <v>0</v>
      </c>
      <c r="L50" s="6">
        <f>SUMPRODUCT(L5:L16,AD5:AD16)</f>
        <v>0</v>
      </c>
      <c r="M50" s="6">
        <f>SUMPRODUCT(M5:M16,AF5:AF16)</f>
        <v>0</v>
      </c>
      <c r="N50" s="6">
        <f>SUMPRODUCT(N5:N16,AH5:AH16)</f>
        <v>0</v>
      </c>
      <c r="O50" s="6">
        <f>SUMPRODUCT(O5:O16,AJ5:AJ16)</f>
        <v>0</v>
      </c>
      <c r="Q50" s="10"/>
    </row>
    <row r="51" spans="2:17" x14ac:dyDescent="0.25">
      <c r="B51" s="6" t="s">
        <v>46</v>
      </c>
      <c r="C51" s="19"/>
      <c r="D51" s="19"/>
      <c r="E51" s="19"/>
      <c r="F51" s="19"/>
      <c r="G51" s="6">
        <f>SUMPRODUCT(G19:G23,T19:T23)</f>
        <v>0</v>
      </c>
      <c r="H51" s="6">
        <f>SUMPRODUCT(H19:H23,V19:V23)</f>
        <v>0</v>
      </c>
      <c r="I51" s="6">
        <f>SUMPRODUCT(I19:I23,X19:X23)</f>
        <v>0</v>
      </c>
      <c r="J51" s="6">
        <f>SUMPRODUCT(J19:J23,Z19:Z23)</f>
        <v>0</v>
      </c>
      <c r="K51" s="6">
        <f>SUMPRODUCT(K19:K23,AB19:AB23)</f>
        <v>0</v>
      </c>
      <c r="L51" s="6">
        <f>SUMPRODUCT(L19:L23,AD19:AD23)</f>
        <v>0</v>
      </c>
      <c r="M51" s="6">
        <f>SUMPRODUCT(M19:M23,AF19:AF23)</f>
        <v>0</v>
      </c>
      <c r="N51" s="6">
        <f>SUMPRODUCT(N19:N23,AH19:AH23)</f>
        <v>0</v>
      </c>
      <c r="O51" s="6">
        <f>SUMPRODUCT(O19:O23,AJ19:AJ23)</f>
        <v>0</v>
      </c>
    </row>
    <row r="52" spans="2:17" x14ac:dyDescent="0.25">
      <c r="B52" s="6" t="s">
        <v>47</v>
      </c>
      <c r="C52" s="19"/>
      <c r="D52" s="19"/>
      <c r="E52" s="19"/>
      <c r="F52" s="19"/>
      <c r="G52" s="6">
        <f>SUMPRODUCT(G26:G31,T26:T31)</f>
        <v>0</v>
      </c>
      <c r="H52" s="6">
        <f>SUMPRODUCT(H26:H31,V26:V31)</f>
        <v>0</v>
      </c>
      <c r="I52" s="6">
        <f>SUMPRODUCT(I26:I31,X26:X31)</f>
        <v>0</v>
      </c>
      <c r="J52" s="6">
        <f>SUMPRODUCT(J26:J31,Z26:Z31)</f>
        <v>0</v>
      </c>
      <c r="K52" s="6">
        <f>SUMPRODUCT(K26:K31,AB26:AB31)</f>
        <v>0</v>
      </c>
      <c r="L52" s="6">
        <f>SUMPRODUCT(L26:L31,AD26:AD31)</f>
        <v>0</v>
      </c>
      <c r="M52" s="6">
        <f>SUMPRODUCT(M26:M31,AF26:AF31)</f>
        <v>0</v>
      </c>
      <c r="N52" s="6">
        <f>SUMPRODUCT(N26:N31,AH26:AH31)</f>
        <v>0</v>
      </c>
      <c r="O52" s="6">
        <f>SUMPRODUCT(O26:O31,AJ26:AJ31)</f>
        <v>0</v>
      </c>
    </row>
    <row r="53" spans="2:17" x14ac:dyDescent="0.25">
      <c r="B53" s="6" t="s">
        <v>51</v>
      </c>
      <c r="C53" s="19"/>
      <c r="D53" s="19"/>
      <c r="E53" s="19"/>
      <c r="F53" s="19"/>
      <c r="G53" s="6">
        <f>0.5*G33^2+4.5*G33</f>
        <v>0</v>
      </c>
      <c r="H53" s="6">
        <f t="shared" ref="H53:O53" si="10">0.5*H33^2+4.5*H33</f>
        <v>0</v>
      </c>
      <c r="I53" s="6">
        <f t="shared" si="10"/>
        <v>0</v>
      </c>
      <c r="J53" s="6">
        <f t="shared" si="10"/>
        <v>0</v>
      </c>
      <c r="K53" s="6">
        <f t="shared" si="10"/>
        <v>0</v>
      </c>
      <c r="L53" s="6">
        <f t="shared" si="10"/>
        <v>0</v>
      </c>
      <c r="M53" s="6">
        <f t="shared" si="10"/>
        <v>0</v>
      </c>
      <c r="N53" s="6">
        <f t="shared" si="10"/>
        <v>0</v>
      </c>
      <c r="O53" s="6">
        <f t="shared" si="10"/>
        <v>0</v>
      </c>
    </row>
    <row r="54" spans="2:17" x14ac:dyDescent="0.25">
      <c r="B54" s="6" t="s">
        <v>48</v>
      </c>
      <c r="C54" s="19"/>
      <c r="D54" s="19"/>
      <c r="E54" s="19"/>
      <c r="F54" s="19"/>
      <c r="G54" s="6">
        <f>SUM(G50:G53)</f>
        <v>0</v>
      </c>
      <c r="H54" s="6">
        <f t="shared" ref="H54:O54" si="11">SUM(H50:H53)</f>
        <v>0</v>
      </c>
      <c r="I54" s="6">
        <f t="shared" si="11"/>
        <v>0</v>
      </c>
      <c r="J54" s="6">
        <f t="shared" si="11"/>
        <v>0</v>
      </c>
      <c r="K54" s="6">
        <f t="shared" si="11"/>
        <v>0</v>
      </c>
      <c r="L54" s="6">
        <f t="shared" si="11"/>
        <v>0</v>
      </c>
      <c r="M54" s="6">
        <f t="shared" si="11"/>
        <v>0</v>
      </c>
      <c r="N54" s="6">
        <f t="shared" si="11"/>
        <v>0</v>
      </c>
      <c r="O54" s="6">
        <f t="shared" si="11"/>
        <v>0</v>
      </c>
    </row>
    <row r="55" spans="2:17" x14ac:dyDescent="0.25">
      <c r="C55" s="18"/>
      <c r="D55" s="18"/>
      <c r="E55" s="18"/>
      <c r="F55" s="18"/>
    </row>
    <row r="56" spans="2:17" x14ac:dyDescent="0.25">
      <c r="C56" s="18"/>
      <c r="D56" s="18"/>
      <c r="E56" s="18"/>
      <c r="F56" s="18"/>
    </row>
    <row r="57" spans="2:17" x14ac:dyDescent="0.25">
      <c r="C57" s="18"/>
      <c r="D57" s="18"/>
      <c r="E57" s="18"/>
      <c r="F57" s="18"/>
    </row>
    <row r="58" spans="2:17" x14ac:dyDescent="0.25">
      <c r="G58" s="17"/>
      <c r="H58" s="17"/>
      <c r="I58" s="17"/>
      <c r="J58" s="17"/>
      <c r="K58" s="17"/>
      <c r="L58" s="17"/>
      <c r="M58" s="17"/>
      <c r="N58" s="17"/>
      <c r="O58" s="17"/>
    </row>
    <row r="59" spans="2:17" x14ac:dyDescent="0.25">
      <c r="G59" s="17"/>
      <c r="H59" s="18"/>
      <c r="I59" s="18"/>
      <c r="J59" s="18"/>
      <c r="K59" s="18"/>
      <c r="L59" s="18"/>
      <c r="M59" s="18"/>
      <c r="N59" s="18"/>
      <c r="O59" s="18"/>
    </row>
    <row r="60" spans="2:17" x14ac:dyDescent="0.25">
      <c r="G60" s="10"/>
    </row>
  </sheetData>
  <sheetProtection formatCells="0"/>
  <conditionalFormatting sqref="H5:H16">
    <cfRule type="cellIs" dxfId="59" priority="31" operator="greaterThan">
      <formula>U5</formula>
    </cfRule>
  </conditionalFormatting>
  <conditionalFormatting sqref="G5:G16">
    <cfRule type="cellIs" dxfId="58" priority="30" operator="greaterThan">
      <formula>S5</formula>
    </cfRule>
  </conditionalFormatting>
  <conditionalFormatting sqref="H5:H16">
    <cfRule type="cellIs" dxfId="57" priority="29" operator="greaterThan">
      <formula>U5</formula>
    </cfRule>
  </conditionalFormatting>
  <conditionalFormatting sqref="I5:I16">
    <cfRule type="cellIs" dxfId="56" priority="28" operator="greaterThan">
      <formula>W5</formula>
    </cfRule>
  </conditionalFormatting>
  <conditionalFormatting sqref="J5:J16">
    <cfRule type="cellIs" dxfId="55" priority="27" operator="greaterThan">
      <formula>Y5</formula>
    </cfRule>
  </conditionalFormatting>
  <conditionalFormatting sqref="K5:K16">
    <cfRule type="cellIs" dxfId="54" priority="26" operator="greaterThan">
      <formula>AA5</formula>
    </cfRule>
  </conditionalFormatting>
  <conditionalFormatting sqref="L5:L16">
    <cfRule type="cellIs" dxfId="53" priority="25" operator="greaterThan">
      <formula>AC5</formula>
    </cfRule>
  </conditionalFormatting>
  <conditionalFormatting sqref="M5:M16">
    <cfRule type="cellIs" dxfId="52" priority="24" operator="greaterThan">
      <formula>AE5</formula>
    </cfRule>
  </conditionalFormatting>
  <conditionalFormatting sqref="N5:N16">
    <cfRule type="cellIs" dxfId="51" priority="23" operator="greaterThan">
      <formula>AG5</formula>
    </cfRule>
  </conditionalFormatting>
  <conditionalFormatting sqref="O5:O16">
    <cfRule type="cellIs" dxfId="50" priority="22" operator="greaterThan">
      <formula>AI5</formula>
    </cfRule>
  </conditionalFormatting>
  <conditionalFormatting sqref="G19:G23">
    <cfRule type="cellIs" dxfId="49" priority="21" operator="greaterThan">
      <formula>S19</formula>
    </cfRule>
  </conditionalFormatting>
  <conditionalFormatting sqref="H19:H23">
    <cfRule type="cellIs" dxfId="48" priority="20" operator="greaterThan">
      <formula>U19</formula>
    </cfRule>
  </conditionalFormatting>
  <conditionalFormatting sqref="I19:I23">
    <cfRule type="cellIs" dxfId="47" priority="19" operator="greaterThan">
      <formula>W19</formula>
    </cfRule>
  </conditionalFormatting>
  <conditionalFormatting sqref="J19:J23">
    <cfRule type="cellIs" dxfId="46" priority="18" operator="greaterThan">
      <formula>Y19</formula>
    </cfRule>
  </conditionalFormatting>
  <conditionalFormatting sqref="K19:K23">
    <cfRule type="cellIs" dxfId="45" priority="17" operator="greaterThan">
      <formula>AA19</formula>
    </cfRule>
  </conditionalFormatting>
  <conditionalFormatting sqref="L19:L23">
    <cfRule type="cellIs" dxfId="44" priority="16" operator="greaterThan">
      <formula>AC19</formula>
    </cfRule>
  </conditionalFormatting>
  <conditionalFormatting sqref="M19:M23">
    <cfRule type="cellIs" dxfId="43" priority="15" operator="greaterThan">
      <formula>AE19</formula>
    </cfRule>
  </conditionalFormatting>
  <conditionalFormatting sqref="N19:N23">
    <cfRule type="cellIs" dxfId="42" priority="14" operator="greaterThan">
      <formula>AG19</formula>
    </cfRule>
  </conditionalFormatting>
  <conditionalFormatting sqref="O19:O23">
    <cfRule type="cellIs" dxfId="41" priority="13" operator="greaterThan">
      <formula>AI19</formula>
    </cfRule>
  </conditionalFormatting>
  <conditionalFormatting sqref="G26:G31">
    <cfRule type="cellIs" dxfId="40" priority="12" operator="greaterThan">
      <formula>S26</formula>
    </cfRule>
  </conditionalFormatting>
  <conditionalFormatting sqref="H26:H31">
    <cfRule type="cellIs" dxfId="39" priority="11" operator="greaterThan">
      <formula>U26</formula>
    </cfRule>
  </conditionalFormatting>
  <conditionalFormatting sqref="I26:I31">
    <cfRule type="cellIs" dxfId="38" priority="10" operator="greaterThan">
      <formula>W26</formula>
    </cfRule>
  </conditionalFormatting>
  <conditionalFormatting sqref="J26:J31">
    <cfRule type="cellIs" dxfId="37" priority="8" operator="greaterThan">
      <formula>Y26</formula>
    </cfRule>
  </conditionalFormatting>
  <conditionalFormatting sqref="K26:K31">
    <cfRule type="cellIs" dxfId="36" priority="7" operator="greaterThan">
      <formula>AA26</formula>
    </cfRule>
  </conditionalFormatting>
  <conditionalFormatting sqref="L26:L31">
    <cfRule type="cellIs" dxfId="35" priority="6" operator="greaterThan">
      <formula>AC26</formula>
    </cfRule>
  </conditionalFormatting>
  <conditionalFormatting sqref="M26:M31">
    <cfRule type="cellIs" dxfId="34" priority="5" operator="greaterThan">
      <formula>AE26</formula>
    </cfRule>
  </conditionalFormatting>
  <conditionalFormatting sqref="N26:N31">
    <cfRule type="cellIs" dxfId="33" priority="4" operator="greaterThan">
      <formula>AG26</formula>
    </cfRule>
  </conditionalFormatting>
  <conditionalFormatting sqref="O26:O31">
    <cfRule type="cellIs" dxfId="32" priority="3" operator="greaterThan">
      <formula>AI26</formula>
    </cfRule>
  </conditionalFormatting>
  <conditionalFormatting sqref="G24:O24">
    <cfRule type="cellIs" dxfId="31" priority="2" operator="lessThan">
      <formula>G43</formula>
    </cfRule>
  </conditionalFormatting>
  <conditionalFormatting sqref="G32:O32">
    <cfRule type="cellIs" dxfId="30" priority="1" operator="lessThan">
      <formula>G42</formula>
    </cfRule>
  </conditionalFormatting>
  <dataValidations count="2">
    <dataValidation type="custom" errorStyle="warning" operator="greaterThan" allowBlank="1" showInputMessage="1" showErrorMessage="1" error="warn" sqref="C52:C53">
      <formula1>IF(C52&gt;D52,TRUE,FALSE)</formula1>
    </dataValidation>
    <dataValidation type="decimal" errorStyle="warning" operator="lessThan" allowBlank="1" showErrorMessage="1" errorTitle="Goal 1" error="incorrect" sqref="C46:F48">
      <formula1>C50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md2050">
          <controlPr defaultSize="0" autoLine="0" r:id="rId5">
            <anchor moveWithCells="1">
              <from>
                <xdr:col>14</xdr:col>
                <xdr:colOff>38100</xdr:colOff>
                <xdr:row>55</xdr:row>
                <xdr:rowOff>0</xdr:rowOff>
              </from>
              <to>
                <xdr:col>15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39" r:id="rId4" name="cmd2050"/>
      </mc:Fallback>
    </mc:AlternateContent>
    <mc:AlternateContent xmlns:mc="http://schemas.openxmlformats.org/markup-compatibility/2006">
      <mc:Choice Requires="x14">
        <control shapeId="1038" r:id="rId6" name="cmd2045">
          <controlPr defaultSize="0" autoLine="0" r:id="rId7">
            <anchor moveWithCells="1">
              <from>
                <xdr:col>13</xdr:col>
                <xdr:colOff>19050</xdr:colOff>
                <xdr:row>55</xdr:row>
                <xdr:rowOff>0</xdr:rowOff>
              </from>
              <to>
                <xdr:col>13</xdr:col>
                <xdr:colOff>647700</xdr:colOff>
                <xdr:row>57</xdr:row>
                <xdr:rowOff>0</xdr:rowOff>
              </to>
            </anchor>
          </controlPr>
        </control>
      </mc:Choice>
      <mc:Fallback>
        <control shapeId="1038" r:id="rId6" name="cmd2045"/>
      </mc:Fallback>
    </mc:AlternateContent>
    <mc:AlternateContent xmlns:mc="http://schemas.openxmlformats.org/markup-compatibility/2006">
      <mc:Choice Requires="x14">
        <control shapeId="1037" r:id="rId8" name="cmd2040">
          <controlPr defaultSize="0" autoLine="0" r:id="rId9">
            <anchor moveWithCells="1">
              <from>
                <xdr:col>12</xdr:col>
                <xdr:colOff>19050</xdr:colOff>
                <xdr:row>55</xdr:row>
                <xdr:rowOff>0</xdr:rowOff>
              </from>
              <to>
                <xdr:col>13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37" r:id="rId8" name="cmd2040"/>
      </mc:Fallback>
    </mc:AlternateContent>
    <mc:AlternateContent xmlns:mc="http://schemas.openxmlformats.org/markup-compatibility/2006">
      <mc:Choice Requires="x14">
        <control shapeId="1036" r:id="rId10" name="cmd2035">
          <controlPr defaultSize="0" autoLine="0" r:id="rId11">
            <anchor moveWithCells="1">
              <from>
                <xdr:col>11</xdr:col>
                <xdr:colOff>9525</xdr:colOff>
                <xdr:row>55</xdr:row>
                <xdr:rowOff>0</xdr:rowOff>
              </from>
              <to>
                <xdr:col>12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36" r:id="rId10" name="cmd2035"/>
      </mc:Fallback>
    </mc:AlternateContent>
    <mc:AlternateContent xmlns:mc="http://schemas.openxmlformats.org/markup-compatibility/2006">
      <mc:Choice Requires="x14">
        <control shapeId="1035" r:id="rId12" name="cmd2030">
          <controlPr defaultSize="0" autoLine="0" r:id="rId13">
            <anchor moveWithCells="1">
              <from>
                <xdr:col>10</xdr:col>
                <xdr:colOff>19050</xdr:colOff>
                <xdr:row>55</xdr:row>
                <xdr:rowOff>0</xdr:rowOff>
              </from>
              <to>
                <xdr:col>11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35" r:id="rId12" name="cmd2030"/>
      </mc:Fallback>
    </mc:AlternateContent>
    <mc:AlternateContent xmlns:mc="http://schemas.openxmlformats.org/markup-compatibility/2006">
      <mc:Choice Requires="x14">
        <control shapeId="1034" r:id="rId14" name="cmd2025">
          <controlPr defaultSize="0" autoLine="0" r:id="rId15">
            <anchor moveWithCells="1">
              <from>
                <xdr:col>9</xdr:col>
                <xdr:colOff>19050</xdr:colOff>
                <xdr:row>55</xdr:row>
                <xdr:rowOff>0</xdr:rowOff>
              </from>
              <to>
                <xdr:col>10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34" r:id="rId14" name="cmd2025"/>
      </mc:Fallback>
    </mc:AlternateContent>
    <mc:AlternateContent xmlns:mc="http://schemas.openxmlformats.org/markup-compatibility/2006">
      <mc:Choice Requires="x14">
        <control shapeId="1033" r:id="rId16" name="cmd2020">
          <controlPr defaultSize="0" autoLine="0" r:id="rId17">
            <anchor moveWithCells="1">
              <from>
                <xdr:col>8</xdr:col>
                <xdr:colOff>19050</xdr:colOff>
                <xdr:row>55</xdr:row>
                <xdr:rowOff>0</xdr:rowOff>
              </from>
              <to>
                <xdr:col>9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33" r:id="rId16" name="cmd2020"/>
      </mc:Fallback>
    </mc:AlternateContent>
    <mc:AlternateContent xmlns:mc="http://schemas.openxmlformats.org/markup-compatibility/2006">
      <mc:Choice Requires="x14">
        <control shapeId="1032" r:id="rId18" name="cmd2015">
          <controlPr defaultSize="0" autoLine="0" r:id="rId19">
            <anchor moveWithCells="1">
              <from>
                <xdr:col>7</xdr:col>
                <xdr:colOff>19050</xdr:colOff>
                <xdr:row>55</xdr:row>
                <xdr:rowOff>0</xdr:rowOff>
              </from>
              <to>
                <xdr:col>8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32" r:id="rId18" name="cmd2015"/>
      </mc:Fallback>
    </mc:AlternateContent>
    <mc:AlternateContent xmlns:mc="http://schemas.openxmlformats.org/markup-compatibility/2006">
      <mc:Choice Requires="x14">
        <control shapeId="1031" r:id="rId20" name="cmd2010">
          <controlPr defaultSize="0" autoLine="0" r:id="rId21">
            <anchor moveWithCells="1">
              <from>
                <xdr:col>6</xdr:col>
                <xdr:colOff>38100</xdr:colOff>
                <xdr:row>55</xdr:row>
                <xdr:rowOff>0</xdr:rowOff>
              </from>
              <to>
                <xdr:col>7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1031" r:id="rId20" name="cmd2010"/>
      </mc:Fallback>
    </mc:AlternateContent>
    <mc:AlternateContent xmlns:mc="http://schemas.openxmlformats.org/markup-compatibility/2006">
      <mc:Choice Requires="x14">
        <control shapeId="1030" r:id="rId22" name="cmblevels">
          <controlPr locked="0" autoLine="0" r:id="rId23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6</xdr:col>
                <xdr:colOff>19050</xdr:colOff>
                <xdr:row>1</xdr:row>
                <xdr:rowOff>57150</xdr:rowOff>
              </to>
            </anchor>
          </controlPr>
        </control>
      </mc:Choice>
      <mc:Fallback>
        <control shapeId="1030" r:id="rId22" name="cmblevel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7"/>
  <sheetViews>
    <sheetView workbookViewId="0">
      <selection activeCell="B5" sqref="B5"/>
    </sheetView>
  </sheetViews>
  <sheetFormatPr defaultRowHeight="15" x14ac:dyDescent="0.25"/>
  <cols>
    <col min="1" max="1" width="21.7109375" bestFit="1" customWidth="1"/>
  </cols>
  <sheetData>
    <row r="1" spans="1:10" x14ac:dyDescent="0.25">
      <c r="A1" t="s">
        <v>27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</row>
    <row r="2" spans="1:10" x14ac:dyDescent="0.25">
      <c r="A2" s="1" t="s">
        <v>34</v>
      </c>
    </row>
    <row r="3" spans="1:10" x14ac:dyDescent="0.25">
      <c r="A3" t="s">
        <v>26</v>
      </c>
    </row>
    <row r="5" spans="1:10" x14ac:dyDescent="0.25">
      <c r="A5" t="s">
        <v>28</v>
      </c>
      <c r="B5" s="24">
        <v>100</v>
      </c>
      <c r="C5" s="24">
        <v>100</v>
      </c>
      <c r="D5" s="24">
        <v>100</v>
      </c>
      <c r="E5" s="24">
        <v>100</v>
      </c>
      <c r="F5" s="24">
        <v>100</v>
      </c>
      <c r="G5" s="24">
        <v>100</v>
      </c>
      <c r="H5" s="24">
        <v>100</v>
      </c>
      <c r="I5" s="24">
        <v>100</v>
      </c>
      <c r="J5" s="24">
        <v>100</v>
      </c>
    </row>
    <row r="6" spans="1:10" x14ac:dyDescent="0.25">
      <c r="A6" t="s">
        <v>29</v>
      </c>
      <c r="B6" s="24">
        <v>100</v>
      </c>
      <c r="C6" s="24">
        <v>100</v>
      </c>
      <c r="D6" s="24">
        <v>100</v>
      </c>
      <c r="E6" s="24">
        <v>100</v>
      </c>
      <c r="F6" s="24">
        <v>100</v>
      </c>
      <c r="G6" s="24">
        <v>100</v>
      </c>
      <c r="H6" s="24">
        <v>100</v>
      </c>
      <c r="I6" s="24">
        <v>100</v>
      </c>
      <c r="J6" s="24">
        <v>100</v>
      </c>
    </row>
    <row r="7" spans="1:10" x14ac:dyDescent="0.25">
      <c r="A7" t="s">
        <v>30</v>
      </c>
      <c r="B7" s="24">
        <v>100</v>
      </c>
      <c r="C7" s="24">
        <v>103</v>
      </c>
      <c r="D7" s="24">
        <v>106</v>
      </c>
      <c r="E7" s="24">
        <v>109</v>
      </c>
      <c r="F7" s="24">
        <v>112</v>
      </c>
      <c r="G7" s="24">
        <v>115</v>
      </c>
      <c r="H7" s="24">
        <v>118</v>
      </c>
      <c r="I7" s="24">
        <v>121</v>
      </c>
      <c r="J7" s="24">
        <v>124</v>
      </c>
    </row>
    <row r="8" spans="1:10" x14ac:dyDescent="0.25">
      <c r="A8" t="s">
        <v>31</v>
      </c>
      <c r="B8" s="24">
        <v>100</v>
      </c>
      <c r="C8" s="24">
        <v>105</v>
      </c>
      <c r="D8" s="24">
        <v>110</v>
      </c>
      <c r="E8" s="24">
        <v>115</v>
      </c>
      <c r="F8" s="24">
        <v>120</v>
      </c>
      <c r="G8" s="24">
        <v>125</v>
      </c>
      <c r="H8" s="24">
        <v>130</v>
      </c>
      <c r="I8" s="24">
        <v>135</v>
      </c>
      <c r="J8" s="24">
        <v>140</v>
      </c>
    </row>
    <row r="9" spans="1:10" x14ac:dyDescent="0.25">
      <c r="A9" t="s">
        <v>32</v>
      </c>
      <c r="B9" s="24">
        <v>100</v>
      </c>
      <c r="C9" s="24">
        <v>105</v>
      </c>
      <c r="D9" s="24">
        <v>110</v>
      </c>
      <c r="E9" s="24">
        <v>115</v>
      </c>
      <c r="F9" s="24">
        <v>120</v>
      </c>
      <c r="G9" s="24">
        <v>125</v>
      </c>
      <c r="H9" s="24">
        <v>130</v>
      </c>
      <c r="I9" s="24">
        <v>135</v>
      </c>
      <c r="J9" s="24">
        <v>140</v>
      </c>
    </row>
    <row r="10" spans="1:10" x14ac:dyDescent="0.25">
      <c r="A10" s="1" t="s">
        <v>33</v>
      </c>
      <c r="B10" s="18"/>
      <c r="C10" s="18"/>
      <c r="D10" s="18"/>
      <c r="E10" s="18"/>
      <c r="F10" s="18"/>
      <c r="G10" s="18"/>
      <c r="H10" s="18"/>
      <c r="I10" s="18"/>
      <c r="J10" s="18"/>
    </row>
    <row r="11" spans="1:10" x14ac:dyDescent="0.25">
      <c r="A11" t="s">
        <v>28</v>
      </c>
      <c r="B11" s="24">
        <v>2000</v>
      </c>
      <c r="C11" s="24">
        <v>2100</v>
      </c>
      <c r="D11" s="24">
        <v>2200</v>
      </c>
      <c r="E11" s="24">
        <v>2400</v>
      </c>
      <c r="F11" s="24">
        <v>2600</v>
      </c>
      <c r="G11" s="24">
        <v>2700</v>
      </c>
      <c r="H11" s="24">
        <v>2800</v>
      </c>
      <c r="I11" s="24">
        <v>3000</v>
      </c>
      <c r="J11" s="24">
        <v>3200</v>
      </c>
    </row>
    <row r="12" spans="1:10" x14ac:dyDescent="0.25">
      <c r="A12" t="s">
        <v>29</v>
      </c>
      <c r="B12" s="24">
        <v>1750</v>
      </c>
      <c r="C12" s="24">
        <v>1900</v>
      </c>
      <c r="D12" s="24">
        <v>2000</v>
      </c>
      <c r="E12" s="24">
        <v>2200</v>
      </c>
      <c r="F12" s="24">
        <v>2400</v>
      </c>
      <c r="G12" s="24">
        <v>2500</v>
      </c>
      <c r="H12" s="24">
        <v>2600</v>
      </c>
      <c r="I12" s="24">
        <v>2900</v>
      </c>
      <c r="J12" s="24">
        <v>3000</v>
      </c>
    </row>
    <row r="13" spans="1:10" x14ac:dyDescent="0.25">
      <c r="A13" t="s">
        <v>30</v>
      </c>
      <c r="B13" s="24">
        <v>1500</v>
      </c>
      <c r="C13" s="24">
        <v>1600</v>
      </c>
      <c r="D13" s="24">
        <v>1800</v>
      </c>
      <c r="E13" s="24">
        <v>2100</v>
      </c>
      <c r="F13" s="24">
        <v>2200</v>
      </c>
      <c r="G13" s="24">
        <v>2300</v>
      </c>
      <c r="H13" s="24">
        <v>2500</v>
      </c>
      <c r="I13" s="24">
        <v>2700</v>
      </c>
      <c r="J13" s="24">
        <v>2700</v>
      </c>
    </row>
    <row r="14" spans="1:10" x14ac:dyDescent="0.25">
      <c r="A14" t="s">
        <v>31</v>
      </c>
      <c r="B14" s="24">
        <v>1300</v>
      </c>
      <c r="C14" s="24">
        <v>1450</v>
      </c>
      <c r="D14" s="24">
        <v>1700</v>
      </c>
      <c r="E14" s="24">
        <v>1950</v>
      </c>
      <c r="F14" s="24">
        <v>2050</v>
      </c>
      <c r="G14" s="24">
        <v>2100</v>
      </c>
      <c r="H14" s="24">
        <v>2400</v>
      </c>
      <c r="I14" s="24">
        <v>2500</v>
      </c>
      <c r="J14" s="24">
        <v>2600</v>
      </c>
    </row>
    <row r="15" spans="1:10" x14ac:dyDescent="0.25">
      <c r="A15" t="s">
        <v>32</v>
      </c>
      <c r="B15" s="24">
        <v>1200</v>
      </c>
      <c r="C15" s="24">
        <v>1400</v>
      </c>
      <c r="D15" s="24">
        <v>1650</v>
      </c>
      <c r="E15" s="24">
        <v>1900</v>
      </c>
      <c r="F15" s="24">
        <v>2000</v>
      </c>
      <c r="G15" s="24">
        <v>2000</v>
      </c>
      <c r="H15" s="24">
        <v>2300</v>
      </c>
      <c r="I15" s="24">
        <v>2400</v>
      </c>
      <c r="J15" s="24">
        <v>2500</v>
      </c>
    </row>
    <row r="16" spans="1:10" x14ac:dyDescent="0.25">
      <c r="A16" s="1" t="s">
        <v>35</v>
      </c>
      <c r="B16" s="18"/>
      <c r="C16" s="18"/>
      <c r="D16" s="18"/>
      <c r="E16" s="18"/>
      <c r="F16" s="18"/>
      <c r="G16" s="18"/>
      <c r="H16" s="18"/>
      <c r="I16" s="18"/>
      <c r="J16" s="18"/>
    </row>
    <row r="17" spans="1:10" x14ac:dyDescent="0.25">
      <c r="A17" t="s">
        <v>28</v>
      </c>
      <c r="B17" s="24">
        <v>46</v>
      </c>
      <c r="C17" s="24">
        <v>46</v>
      </c>
      <c r="D17" s="24">
        <v>42</v>
      </c>
      <c r="E17" s="24">
        <v>38</v>
      </c>
      <c r="F17" s="24">
        <v>32</v>
      </c>
      <c r="G17" s="24">
        <v>25</v>
      </c>
      <c r="H17" s="24">
        <v>20</v>
      </c>
      <c r="I17" s="24">
        <v>15</v>
      </c>
      <c r="J17" s="24">
        <v>12</v>
      </c>
    </row>
    <row r="18" spans="1:10" x14ac:dyDescent="0.25">
      <c r="A18" t="s">
        <v>29</v>
      </c>
      <c r="B18" s="24">
        <v>44</v>
      </c>
      <c r="C18" s="24">
        <v>40</v>
      </c>
      <c r="D18" s="24">
        <v>36</v>
      </c>
      <c r="E18" s="24">
        <v>30</v>
      </c>
      <c r="F18" s="24">
        <v>20</v>
      </c>
      <c r="G18" s="24">
        <v>15</v>
      </c>
      <c r="H18" s="24">
        <v>12</v>
      </c>
      <c r="I18" s="24">
        <v>10</v>
      </c>
      <c r="J18" s="24">
        <v>8</v>
      </c>
    </row>
    <row r="19" spans="1:10" x14ac:dyDescent="0.25">
      <c r="A19" t="s">
        <v>30</v>
      </c>
      <c r="B19" s="24">
        <v>40</v>
      </c>
      <c r="C19" s="24">
        <v>38</v>
      </c>
      <c r="D19" s="24">
        <v>30</v>
      </c>
      <c r="E19" s="24">
        <v>20</v>
      </c>
      <c r="F19" s="24">
        <v>15</v>
      </c>
      <c r="G19" s="24">
        <v>12</v>
      </c>
      <c r="H19" s="24">
        <v>10</v>
      </c>
      <c r="I19" s="24">
        <v>8</v>
      </c>
      <c r="J19" s="24">
        <v>6</v>
      </c>
    </row>
    <row r="20" spans="1:10" x14ac:dyDescent="0.25">
      <c r="A20" t="s">
        <v>31</v>
      </c>
      <c r="B20" s="24">
        <v>38</v>
      </c>
      <c r="C20" s="24">
        <v>34</v>
      </c>
      <c r="D20" s="24">
        <v>24</v>
      </c>
      <c r="E20" s="24">
        <v>16</v>
      </c>
      <c r="F20" s="24">
        <v>10</v>
      </c>
      <c r="G20" s="24">
        <v>8</v>
      </c>
      <c r="H20" s="24">
        <v>6</v>
      </c>
      <c r="I20" s="24">
        <v>4</v>
      </c>
      <c r="J20" s="24">
        <v>2</v>
      </c>
    </row>
    <row r="21" spans="1:10" x14ac:dyDescent="0.25">
      <c r="A21" t="s">
        <v>32</v>
      </c>
      <c r="B21" s="24">
        <v>38</v>
      </c>
      <c r="C21" s="24">
        <v>32</v>
      </c>
      <c r="D21" s="24">
        <v>20</v>
      </c>
      <c r="E21" s="24">
        <v>12</v>
      </c>
      <c r="F21" s="24">
        <v>8</v>
      </c>
      <c r="G21" s="24">
        <v>6</v>
      </c>
      <c r="H21" s="24">
        <v>4</v>
      </c>
      <c r="I21" s="24">
        <v>2</v>
      </c>
      <c r="J21" s="24">
        <v>1</v>
      </c>
    </row>
    <row r="22" spans="1:10" x14ac:dyDescent="0.25">
      <c r="A22" s="1" t="s">
        <v>36</v>
      </c>
      <c r="B22" s="18"/>
      <c r="C22" s="18"/>
      <c r="D22" s="18"/>
      <c r="E22" s="18"/>
      <c r="F22" s="18"/>
      <c r="G22" s="18"/>
      <c r="H22" s="18"/>
      <c r="I22" s="18"/>
      <c r="J22" s="18"/>
    </row>
    <row r="23" spans="1:10" x14ac:dyDescent="0.25">
      <c r="A23" t="s">
        <v>28</v>
      </c>
      <c r="B23" s="24">
        <v>6.5</v>
      </c>
      <c r="C23" s="24">
        <v>6.4</v>
      </c>
      <c r="D23" s="24">
        <v>6.3</v>
      </c>
      <c r="E23" s="24">
        <v>6.1</v>
      </c>
      <c r="F23" s="24">
        <v>5.8</v>
      </c>
      <c r="G23" s="24">
        <v>5.3</v>
      </c>
      <c r="H23" s="24">
        <v>4.8</v>
      </c>
      <c r="I23" s="24">
        <v>4.3</v>
      </c>
      <c r="J23" s="24">
        <v>3.5</v>
      </c>
    </row>
    <row r="24" spans="1:10" x14ac:dyDescent="0.25">
      <c r="A24" t="s">
        <v>29</v>
      </c>
      <c r="B24" s="24">
        <v>6.2</v>
      </c>
      <c r="C24" s="24">
        <v>6</v>
      </c>
      <c r="D24" s="24">
        <v>5.8</v>
      </c>
      <c r="E24" s="24">
        <v>5.5</v>
      </c>
      <c r="F24" s="24">
        <v>5.2</v>
      </c>
      <c r="G24" s="24">
        <v>4.5</v>
      </c>
      <c r="H24" s="24">
        <v>4</v>
      </c>
      <c r="I24" s="24">
        <v>3.5</v>
      </c>
      <c r="J24" s="24">
        <v>3</v>
      </c>
    </row>
    <row r="25" spans="1:10" x14ac:dyDescent="0.25">
      <c r="A25" t="s">
        <v>30</v>
      </c>
      <c r="B25" s="24">
        <v>6</v>
      </c>
      <c r="C25" s="24">
        <v>5.8</v>
      </c>
      <c r="D25" s="24">
        <v>5.5</v>
      </c>
      <c r="E25" s="24">
        <v>5.2</v>
      </c>
      <c r="F25" s="24">
        <v>4.8</v>
      </c>
      <c r="G25" s="24">
        <v>4.2</v>
      </c>
      <c r="H25" s="24">
        <v>3.6</v>
      </c>
      <c r="I25" s="24">
        <v>3</v>
      </c>
      <c r="J25" s="24">
        <v>2.5</v>
      </c>
    </row>
    <row r="26" spans="1:10" x14ac:dyDescent="0.25">
      <c r="A26" t="s">
        <v>31</v>
      </c>
      <c r="B26" s="24">
        <v>5.9</v>
      </c>
      <c r="C26" s="24">
        <v>5.6</v>
      </c>
      <c r="D26" s="24">
        <v>5.3</v>
      </c>
      <c r="E26" s="24">
        <v>4.8</v>
      </c>
      <c r="F26" s="24">
        <v>4.3</v>
      </c>
      <c r="G26" s="24">
        <v>3.7</v>
      </c>
      <c r="H26" s="24">
        <v>3</v>
      </c>
      <c r="I26" s="24">
        <v>2.4</v>
      </c>
      <c r="J26" s="24">
        <v>1.8</v>
      </c>
    </row>
    <row r="27" spans="1:10" x14ac:dyDescent="0.25">
      <c r="A27" t="s">
        <v>32</v>
      </c>
      <c r="B27" s="24">
        <v>6</v>
      </c>
      <c r="C27" s="24">
        <v>5.5</v>
      </c>
      <c r="D27" s="24">
        <v>5</v>
      </c>
      <c r="E27" s="24">
        <v>4.5</v>
      </c>
      <c r="F27" s="24">
        <v>4</v>
      </c>
      <c r="G27" s="24">
        <v>3.3</v>
      </c>
      <c r="H27" s="24">
        <v>2.6</v>
      </c>
      <c r="I27" s="24">
        <v>2</v>
      </c>
      <c r="J27" s="24">
        <v>1.2</v>
      </c>
    </row>
  </sheetData>
  <sheetProtection formatCells="0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Sheet4</vt:lpstr>
      <vt:lpstr>l_2015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clant</dc:creator>
  <cp:lastModifiedBy>David Xiong</cp:lastModifiedBy>
  <cp:lastPrinted>2009-06-25T21:11:27Z</cp:lastPrinted>
  <dcterms:created xsi:type="dcterms:W3CDTF">2009-06-25T16:01:28Z</dcterms:created>
  <dcterms:modified xsi:type="dcterms:W3CDTF">2012-05-31T17:52:35Z</dcterms:modified>
</cp:coreProperties>
</file>